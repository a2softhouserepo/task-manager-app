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Dashboard" sheetId="1" r:id="rId5"/>
    <sheet state="visible" name="Fevereiro" sheetId="2" r:id="rId6"/>
    <sheet state="visible" name="Março" sheetId="3" r:id="rId7"/>
    <sheet state="visible" name="Abril" sheetId="4" r:id="rId8"/>
    <sheet state="visible" name="Maio" sheetId="5" r:id="rId9"/>
    <sheet state="visible" name="Junho" sheetId="6" r:id="rId10"/>
    <sheet state="visible" name="Julho" sheetId="7" r:id="rId11"/>
    <sheet state="visible" name="Agosto" sheetId="8" r:id="rId12"/>
    <sheet state="visible" name="Setembro" sheetId="9" r:id="rId13"/>
    <sheet state="visible" name="Outubro" sheetId="10" r:id="rId14"/>
    <sheet state="visible" name="Novembro" sheetId="11" r:id="rId15"/>
    <sheet state="visible" name="Dezembro" sheetId="12" r:id="rId16"/>
  </sheets>
  <definedNames/>
  <calcPr/>
</workbook>
</file>

<file path=xl/sharedStrings.xml><?xml version="1.0" encoding="utf-8"?>
<sst xmlns="http://schemas.openxmlformats.org/spreadsheetml/2006/main" count="839" uniqueCount="296">
  <si>
    <t>Mês</t>
  </si>
  <si>
    <t>Valor por Unidade de esforço (hora)</t>
  </si>
  <si>
    <t>Despesas por contratação</t>
  </si>
  <si>
    <t>Total</t>
  </si>
  <si>
    <t>Gráfico de acompanhamento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</si>
  <si>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</si>
  <si>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</si>
  <si>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</si>
  <si>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</si>
  <si>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</si>
  <si>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</si>
  <si>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</si>
  <si>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</si>
  <si>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</si>
  <si>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</si>
  <si>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</si>
  <si>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</si>
  <si>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Categoria</t>
  </si>
  <si>
    <t>Item</t>
  </si>
  <si>
    <t>Esforço Estimado (h)</t>
  </si>
  <si>
    <t>Entregue em:</t>
  </si>
  <si>
    <t>E-mail MKT</t>
  </si>
  <si>
    <t>Convite inscrição para corrida</t>
  </si>
  <si>
    <t>Sírio Libanês a caminho Janeiro</t>
  </si>
  <si>
    <t>Materiais conselhos consultivo (3 e-mails traduzidos)</t>
  </si>
  <si>
    <t>Corrida Sírio Libvanes (SP/BSB)</t>
  </si>
  <si>
    <t>Sírio Libanês a caminho</t>
  </si>
  <si>
    <t>Newsletter Investimentos Sociais 3ed</t>
  </si>
  <si>
    <t>Comunicado App</t>
  </si>
  <si>
    <t>Saúde Petrobras</t>
  </si>
  <si>
    <t>Corrida Base Inscrita</t>
  </si>
  <si>
    <t>Cliente</t>
  </si>
  <si>
    <t>Esforço Estimado</t>
  </si>
  <si>
    <t>Observações</t>
  </si>
  <si>
    <t>E-mail</t>
  </si>
  <si>
    <t>Sírio-Libanês</t>
  </si>
  <si>
    <t>Projetos Incentivados Doadores e Pacientes</t>
  </si>
  <si>
    <t>2 templates semelhantes com alterações apenas no cabeçalho</t>
  </si>
  <si>
    <t>Corrida Sírio-Libanês</t>
  </si>
  <si>
    <t>Ajuste no e-mail Corrida Sírio-Libanês SP</t>
  </si>
  <si>
    <t>Saúde Populacional</t>
  </si>
  <si>
    <t>News Internacional Jan Fev PT</t>
  </si>
  <si>
    <t>News Internacional Jan Fev EN</t>
  </si>
  <si>
    <t>News Internacional Jan Fev ES</t>
  </si>
  <si>
    <t>Roda de Conversa Mulheres + Reminder</t>
  </si>
  <si>
    <t>2 E-mails curtos apenas imagens fatiadas</t>
  </si>
  <si>
    <t>News Internacional Março</t>
  </si>
  <si>
    <t>1ª Corrida Base Inscrita Pre Prova</t>
  </si>
  <si>
    <t>News Saude Petrobras Mai</t>
  </si>
  <si>
    <t>News Saude Petrobras Mar</t>
  </si>
  <si>
    <t>1ª Corrida Base Inscrita Pre Prova BSB</t>
  </si>
  <si>
    <t>Stryker</t>
  </si>
  <si>
    <t>Mako Latam Summit PT</t>
  </si>
  <si>
    <t>Mako Latam Summit ES</t>
  </si>
  <si>
    <t>Ajuste no e-mail Corrida Sírio-Libanês BSB</t>
  </si>
  <si>
    <t>Mako Latam Summit Convite PT/ES</t>
  </si>
  <si>
    <t>2 templates semelhantes com alteração apenas nas imagens</t>
  </si>
  <si>
    <t>Mako Latam Summit Divulgação Agenda PT/ES</t>
  </si>
  <si>
    <t>Corrida-Sirio-Libanes-Emails-Pos-Prova-SP</t>
  </si>
  <si>
    <t>Urgência.</t>
  </si>
  <si>
    <t>Mako Summit LatAm 2025 - Amanhã ES</t>
  </si>
  <si>
    <t>Mako Summit LatAm 2025 - Amanhã PT</t>
  </si>
  <si>
    <t>Mako Summit LatAm 2025 - Chegando ES</t>
  </si>
  <si>
    <t>Mako Summit LatAm 2025 - Chegando PT</t>
  </si>
  <si>
    <t>Mako Summit LatAm 2025 - Dados ES</t>
  </si>
  <si>
    <t>Mako Summit LatAm 2025 - Dados PT</t>
  </si>
  <si>
    <t>Corrida-Sirio-Libanes-Emails-Pos-Prova-BSB</t>
  </si>
  <si>
    <t>Convite Beneficiários Saude Petrobras</t>
  </si>
  <si>
    <t>10 Ajustes em e-mails sobre LatamMako Summit 2025</t>
  </si>
  <si>
    <t>Urgência. E-mails semelhantes com troca de imagens.</t>
  </si>
  <si>
    <t>Central de Laudos</t>
  </si>
  <si>
    <t>Mova se</t>
  </si>
  <si>
    <t>Carrinho abandonado</t>
  </si>
  <si>
    <t>Mako Summit Latam 2025 Obrigado PT/ES</t>
  </si>
  <si>
    <t>E-mails semelhantes con troca de imagens.</t>
  </si>
  <si>
    <t>Doadores Medicina</t>
  </si>
  <si>
    <t>Sírio-Libanês a caminho EN</t>
  </si>
  <si>
    <t>Sírio-Libanês a caminho ES</t>
  </si>
  <si>
    <t>Videocast Saude Populacional</t>
  </si>
  <si>
    <t>JPR2025</t>
  </si>
  <si>
    <t>Urgência</t>
  </si>
  <si>
    <t>DG_1190-HSL-Comunicado-App-v4</t>
  </si>
  <si>
    <t>Data da Entrega</t>
  </si>
  <si>
    <t>DG_1367-NN-Email-Pos-Bett-Brasil</t>
  </si>
  <si>
    <t>DG-1343-HSL-Emkt-Divulgacao-novo-Centro-de-Ortopedia-Itaim</t>
  </si>
  <si>
    <t>DG-1326-HSL-Emkt-Pos-Sarcomas-Email-para-medicos</t>
  </si>
  <si>
    <t>DG-1301-HSL-Campanha-Gripe-Email</t>
  </si>
  <si>
    <t>DG_1163-HSL-SOCESP-Email1</t>
  </si>
  <si>
    <t>Sustentação</t>
  </si>
  <si>
    <t>Blog Rede NatJus</t>
  </si>
  <si>
    <t>Ajuste no cadastro de novos e-mails na página principal</t>
  </si>
  <si>
    <t>Relato: Todos os dias é necessário limpar o cache para que volte a funcionar o recurso de cadastro de novos e-mails para recebimento de Newsletter.</t>
  </si>
  <si>
    <t>Ajuste de dimensionamento das imagens</t>
  </si>
  <si>
    <t>Relato: As imagens ficam distorcidas em alguns navegadores.</t>
  </si>
  <si>
    <t>DG_1333-HSL-4Edicao-Newsletter-Investimentos-Sociais</t>
  </si>
  <si>
    <t>E-mail_MKT_autenticacao_de_dois_fatores</t>
  </si>
  <si>
    <t>DG_1400-SC-E-mail-mkt-Saude-Petrobras-Comunicado-Influenza</t>
  </si>
  <si>
    <t>DG_1390-HSL-News-Internacional-2025-PT</t>
  </si>
  <si>
    <t>DG_1362-HSL-News-Institucional-Maio-BSB</t>
  </si>
  <si>
    <t>DG_1362-HSL-News-Institucional-Maio-SP</t>
  </si>
  <si>
    <t>DG_1403-SC-E-mail-Mkt-Ep3-Videocast-Saude-Pop</t>
  </si>
  <si>
    <t>DG_0056-Email-MakoSummit-Final-ES</t>
  </si>
  <si>
    <t>DG_0056-Email-MakoSummit-Final-PT</t>
  </si>
  <si>
    <t>DG3_1400-SC-E-mail-mkt-Saude-Petrobras-Comunicado-Influenza</t>
  </si>
  <si>
    <t>DG_1390-HSL-News-Internacional-2025-EN</t>
  </si>
  <si>
    <t>DG_1390-HSL-News-Internacional-2025-ES</t>
  </si>
  <si>
    <t>DG_1423-SC-Saude-Petro-Email-Linhas-de-cuidado-diabetes</t>
  </si>
  <si>
    <t>Data da Solicitação</t>
  </si>
  <si>
    <t>Ajuste de espaçamento no banner principal da página inicial</t>
  </si>
  <si>
    <t>Remoção do autor no banner principal da página de postagem</t>
  </si>
  <si>
    <t>DG_1365-CONVITE-Palestras-Associadas-e-Voluntarios-SL-III-Encontro-Enxoval</t>
  </si>
  <si>
    <t>DG_1365-REMINDER-Palestras-Associadas-e-Voluntarios-SL-III-Encontro-Enxoval</t>
  </si>
  <si>
    <t>DG_1343-HSL-Emkt-Divulgacao-novo-Centro-de-Ortopedia-Itaim</t>
  </si>
  <si>
    <t>DG_1431-SC-Comunicado-pediatria-GEAP</t>
  </si>
  <si>
    <t>DG-1434-HSL-Comunicado-novo-Time-de-Saude-Salvador</t>
  </si>
  <si>
    <t>DG_1439-SC-Emails-Saude-Petro-Adultos</t>
  </si>
  <si>
    <t>DG_1439-SC-Emails-Saude-Petro-Idosos</t>
  </si>
  <si>
    <t>DG-1163-HSL-SOCESP-Email2</t>
  </si>
  <si>
    <t>DG_1459-SC-Email-Mkt-Mensal-GEAP-JUN</t>
  </si>
  <si>
    <t>DG_1454-HSL-SL-a-caminho-E-mkt-Junho</t>
  </si>
  <si>
    <t>DG_1453-HSL-E-mail-Marketing-Pos-Projetos-Incentivados-1</t>
  </si>
  <si>
    <t>DG_1453-HSL-E-mail-Marketing-Pos-Projetos-Incentivados-2</t>
  </si>
  <si>
    <t>DG_1453-HSL-E-mail-Marketing-Pos-Projetos-Incentivados-3</t>
  </si>
  <si>
    <t>DG2_1454-HSL-SL-a-caminho-E-mkt-Junho</t>
  </si>
  <si>
    <t>DG_1414-HSL-E-mail-Relatorio-2024-IS</t>
  </si>
  <si>
    <t>DG_1495-SC-EMAIL-app-Paciente-Sirio-Libanes-e-mail-mkt-Santander</t>
  </si>
  <si>
    <t>DG_1432-HSL-Simposio-Escolar-STD</t>
  </si>
  <si>
    <t>DG_1510-SC-E-mails-Julho-Saude-Petrobras-ISTs</t>
  </si>
  <si>
    <t>DG_1510-SC-E-mails-Julho-Saude-Petrobras-Incontinencia</t>
  </si>
  <si>
    <t>DG_1483-HSL-News-Institucional-Julho-SP</t>
  </si>
  <si>
    <t>DG_1483-HSL-News-Institucional-Julho-BSB</t>
  </si>
  <si>
    <t>DG_1491-HSL-Emkt-Pos-SOCESP</t>
  </si>
  <si>
    <t>DG_1522-HSL-E-mail-marketing-julho-GEAP</t>
  </si>
  <si>
    <t>DG_0073-A-STK-KV-iSPIES-LatAm-2025-CONVITE-PT</t>
  </si>
  <si>
    <t>DG_0073-A-STK-KV-iSPIES-LatAm-2025-CONVITE-ES1</t>
  </si>
  <si>
    <t>DG_0073-A-STK-KV-iSPIES-LatAm-2025-CONVITE-ES2</t>
  </si>
  <si>
    <t>DG_0073-A-STK-KV-iSPIES-LatAm-2025-CONVITE-ES3</t>
  </si>
  <si>
    <t>DG_1445-HSL-Convite-Quebrando-Tabu-email</t>
  </si>
  <si>
    <t>AF-1524-HSL-E-mail-Mkt-Casa-Bauducco-Brasilia</t>
  </si>
  <si>
    <t>DG_1458-HSL-II-Encontro-de-Voluntarios-SP-Convite</t>
  </si>
  <si>
    <t>DG_1458-HSL-II-Encontro-de-Voluntarios-DG_BSB-Convite-</t>
  </si>
  <si>
    <t>DG_1549-SC-Email-videocast-ep4-Saude-Pop</t>
  </si>
  <si>
    <t>DG_1482-HSL-KV-Congresso-SBC</t>
  </si>
  <si>
    <t>DG_1553-EMAIL-HSL-Conta-Hospitalar-Particular</t>
  </si>
  <si>
    <t>DG_1494-A-HSL-Evento-Saude-Escolar-Convite-Prog</t>
  </si>
  <si>
    <t>0086-Convite-PT</t>
  </si>
  <si>
    <t>0086-Convite-ES</t>
  </si>
  <si>
    <t>DG2_1414-HSL-E-mail-Relatorio-2024-IS</t>
  </si>
  <si>
    <t>DG_1551-HSL-SL-Responde-E-mail-Marketing</t>
  </si>
  <si>
    <t>DG_0086-STD</t>
  </si>
  <si>
    <t>DG_1494-A-HSL-Evento-Saude-Escolar-Convite-Prog-DIsparo2</t>
  </si>
  <si>
    <t>1616-HSL-Pecas-Setembro-em-Flor-v2</t>
  </si>
  <si>
    <t>1492-HSL-Newsletter-5a-Edicao-Investimentos-Sociais-v4</t>
  </si>
  <si>
    <t>Conteúdo</t>
  </si>
  <si>
    <t>NatJus Blog</t>
  </si>
  <si>
    <t>[Blog Rede NATJus] Posts para semana 34</t>
  </si>
  <si>
    <t>Remover posts não fixos no Slider de posts da página inicial</t>
  </si>
  <si>
    <t>1530-HSL-E-mails-Aniversario-IS-AF</t>
  </si>
  <si>
    <t>1626-SC-E-mails-marketing-Saude-Petrobras-e-GEAP_v3_3</t>
  </si>
  <si>
    <t>1626-SC-E-mails-marketing-Saude-Petrobras-e-GEAP_v3_2</t>
  </si>
  <si>
    <t>1605-HSL-SL-a-caminho-E-mkt-Junho-AF</t>
  </si>
  <si>
    <t>1626-SC-E-mails-marketing-Saude-Petrobras-e-GEAP_v3_1</t>
  </si>
  <si>
    <t>Striker</t>
  </si>
  <si>
    <t>0073-STK-iSPIES_AGENDA-ES_v2</t>
  </si>
  <si>
    <t>0073-STK-iSPIES_AGENDA-PT_v2b</t>
  </si>
  <si>
    <t>[Blog Rede NATJus] Semana 35</t>
  </si>
  <si>
    <t>[Blog rede NATJus] Envio Newsletter do post 261</t>
  </si>
  <si>
    <t>DG-1636-HSL-SLAC-E-mail-Marketing-Agosto-Campinas-Regiao-v3-</t>
  </si>
  <si>
    <t>0073-STK-iSPIES_AGENDA-ES_v3</t>
  </si>
  <si>
    <t>1545-HSL-E-mail-mkt-do-FILIS-v5</t>
  </si>
  <si>
    <t>Atualizar página Quem Somos do Blog NATJus</t>
  </si>
  <si>
    <t>DG-1652-HSL-E-mail-Fundo-Patrimonial-Relatorio-1Sem-v3-</t>
  </si>
  <si>
    <t>DG_0073-I-STK-KV-iSPIES-LatAm-2025-Novo-Comunicado-ES</t>
  </si>
  <si>
    <t>DG_0073-I-STK-KV-iSPIES-LatAm-2025-Novo-Comunicado-PT</t>
  </si>
  <si>
    <t>DG_1551-HSL-SL-Responde-E-mail-Marketing-v2</t>
  </si>
  <si>
    <t>DG-1660-EMAIL-HSL-Comunicacao-Central-de-Laudos-v2-</t>
  </si>
  <si>
    <t>DG_0073-K-STK-KV-iSPIES-LatAm-2025-Reminder-ES</t>
  </si>
  <si>
    <t>DG_0073-K-STK-KV-iSPIES-LatAm-2025-Reminder-PT</t>
  </si>
  <si>
    <t>1635-HSL-E-mail-marketing-Itaim-Ortopedia-v5</t>
  </si>
  <si>
    <t>1557-HSL-Sirio-Libanes-a-caminho-E-mail-Marketing-Agosto-v8</t>
  </si>
  <si>
    <t>DG-1670-HSL-Email-mkt-videocast-ep5-Saude-Pop-v2-</t>
  </si>
  <si>
    <t>0086-MAKO-CHAMPIONS-AGENDA_V3</t>
  </si>
  <si>
    <t>DG_1482-C-HSL-Congresso-SBC-E-mail-Mkt-Reminder</t>
  </si>
  <si>
    <t>0086-MAKO-CHAMPIONS-AGENDA_V3-2</t>
  </si>
  <si>
    <t>1678-HSL-Emkt-Setembro-Vermelho-condicoes-especiais-AF</t>
  </si>
  <si>
    <t>DG_1664-SC-E-mail-Marketing-B2B-Captacao</t>
  </si>
  <si>
    <t>DG_1682-HSL-Email-GEAP-Set25</t>
  </si>
  <si>
    <t>DG_1682-HSL-Email-Saude-Petrobras-Set25</t>
  </si>
  <si>
    <t>DG_0086-E-LatAm-Mako-Champions-Comunicado-Confirmacao-Presenca-PT</t>
  </si>
  <si>
    <t>DG_0086-E-LatAm-Mako-Champions-Comunicado-Confirmacao-Presenca-ES</t>
  </si>
  <si>
    <t>DG_0073-L-STK-KV-iSPIES-LatAm-2025-COMUNICADO-AGRADECIMENTO-ES</t>
  </si>
  <si>
    <t>DG_0073-L-STK-KV-iSPIES-LatAm-2025-COMUNICADO-AGRADECIMENTO-PT</t>
  </si>
  <si>
    <t>1628-HSL-E-mails-Marketing-Jardins-v5-01</t>
  </si>
  <si>
    <t>1628-HSL-E-mails-Marketing-Jardins-AF-02</t>
  </si>
  <si>
    <t>DG-1675-NN-E-mail-mkt-Podcast-ep1-v6</t>
  </si>
  <si>
    <t>1627-HSL-E-mails-Marketing-Brasilia-v5-</t>
  </si>
  <si>
    <t>1627-HSL-E-mails-Marketing-Brasilia-v5-2</t>
  </si>
  <si>
    <t>1627-HSL-E-mails-Marketing-Brasilia-v5-3</t>
  </si>
  <si>
    <t>1627-HSL-E-mails-Marketing-Brasilia-v5-4</t>
  </si>
  <si>
    <t>DG-1386-HSL-Centro-Reabilitacao-v5-3-Email</t>
  </si>
  <si>
    <t>0086-F-LatAm-Mako-Champions-Comunicado-Travel-Guide-COMUNICADO_PT-V2-revisado</t>
  </si>
  <si>
    <t>0086-F-LatAm-Mako-Champions-Comunicado-Travel-Guide-COMUNICADO---ES</t>
  </si>
  <si>
    <t>DG_1673-HSL-News-Institucional-Setembro-SP</t>
  </si>
  <si>
    <t>DG_1673-HSL-News-Institucional-Setembro-BSB</t>
  </si>
  <si>
    <t>DG_1673-HSL-News-Institucional-Setembro-SP-vImg</t>
  </si>
  <si>
    <t>DG_1673-HSL-News-Institucional-Setembro-BSB-vImg</t>
  </si>
  <si>
    <t>1686-HSL-News-Internacional-Setembro-2025-v4</t>
  </si>
  <si>
    <t>DG-1680-HSL-E-mail-marketing-Dia-mundial-do-coracao-v6</t>
  </si>
  <si>
    <t>1686-HSL-News-Internacional-Setembro-2025-v42</t>
  </si>
  <si>
    <t>1686-HSL-News-Internacional-Setembro-2025-v43</t>
  </si>
  <si>
    <t>DG-1680-HSL-E-mail-marketing-Dia-mundial-do-coracao-v6-vNoMail</t>
  </si>
  <si>
    <t>DG_1664-SC-E-mail-Marketing-B2B-Captacao-v4</t>
  </si>
  <si>
    <t>DG_0086-K-LatAm-Mako-Champions-Convite-do-medico</t>
  </si>
  <si>
    <t>DG-1731-SC-Email-mkt-videocast-ep6-Saude-Pop-v2-</t>
  </si>
  <si>
    <t>0086-F-LatAm-Mako-Champions-Comunicado-Travel-Guide-COMUNICADO-PT</t>
  </si>
  <si>
    <t>0086-F-LatAm-Mako-Champions-Comunicado-Travel-Guide-COMUNICADO-ES</t>
  </si>
  <si>
    <t>DG-1732-C-HSL-Acao-de-Outubro-Rosa-BSB</t>
  </si>
  <si>
    <t>DG-1732-C-HSL-Acao-de-Outubro-Rosa-SP</t>
  </si>
  <si>
    <t>DG-1683-HSL-Congresso-HEMO-v3</t>
  </si>
  <si>
    <t>DG-1514-EMAILWHATS-HSL-Funcionalidades-Financeiras-WhatsApp-v9</t>
  </si>
  <si>
    <t>DG-1748-SC-Convite-Acao-Outubro-Rosa</t>
  </si>
  <si>
    <t>DG-1737-EMAIL-HSL-Pecas-Regua-GEAP-v4-2</t>
  </si>
  <si>
    <t>DG-1737-EMAIL-HSL-Pecas-Regua-GEAP-v4</t>
  </si>
  <si>
    <t>DG-1706-Email-SC-Comunicacao-Assefaz-Saude-e-Jade-Capital-v6</t>
  </si>
  <si>
    <t>DG-1706-Email-SC-Comunicacao-Assefaz-Saude-e-Jade-Capital-v6-2</t>
  </si>
  <si>
    <t>0086-N-LatAm-Mako-Champions-COMUNICADO-AGRADECIMENTO-ESPANHOL</t>
  </si>
  <si>
    <t>0086-N-LatAm-Mako-Champions-COMUNICADO-AGRADECIMENTO-PORTUGUES</t>
  </si>
  <si>
    <t>DG-1754-SC-Emails-Saude-Petrobras-GEAP-v3-</t>
  </si>
  <si>
    <t>DG-1754-SC-Emails-Saude-Petrobras-GEAP-v3-3</t>
  </si>
  <si>
    <t>DG-1754-SC-Emails-Saude-Petrobras-GEAP-v3-2</t>
  </si>
  <si>
    <t>DG-1732-C-HSL-Acao-de-Outubro-Rosa-EMKT-SP-E-BSB-v5-</t>
  </si>
  <si>
    <t>DG-1635-HSL-E-mail-marketing-Itaim-Ortopedia-v6</t>
  </si>
  <si>
    <t>DG-1706-Email-SC-Comunicacao-Assefaz-Saude-e-Jade-Capital-v6-2 [CORREÇÃO]</t>
  </si>
  <si>
    <t>DG-1706-Email-SC-Comunicacao-Assefaz-Saude-e-Jade-Capital-v6 [CORREÇÃO]</t>
  </si>
  <si>
    <t>DG-1752-EMAIL-SC-Pecas-Regua-GEAP-2-v3-</t>
  </si>
  <si>
    <t>DG-1752-ONBOARD-SC-Pecas-Regua-GEAP-2-v3-</t>
  </si>
  <si>
    <t>DG-1683-B-HSL-Congresso-HEMO-Email-REMINDER-v3-</t>
  </si>
  <si>
    <t>DG-1529-A-HSL-Evento-Momento-de-Reconhecimento-aos-Benemeritos-SL-2025-CONVITE-AGRADECIMENTO-v5</t>
  </si>
  <si>
    <t>DG-1529-C-HSL-Evento-Momento-de-Reconhecimento-aos-Benemeritos-SL-2025-NAO-COMPARECIMENTO-v3</t>
  </si>
  <si>
    <t>DG-1732-G-HSL-Acao-OutubroRosa-Email-REMINDER-SP-e-BSB-v4-</t>
  </si>
  <si>
    <t>DG-1732-G-HSL-Acao-OutubroRosa-Email-REMINDER-SP-e-BSB-v4-2</t>
  </si>
  <si>
    <t>DG-1744-E-HSL-mail-mkt-Outubro-Rosa-v6-</t>
  </si>
  <si>
    <t>DG_4451R-OncologiaAmericas-E-mail-mkt-SBOC</t>
  </si>
  <si>
    <t>DG-1779-HSL-E-mail-Mkt-Matriz-de-Materialidade-V2</t>
  </si>
  <si>
    <t>DG-1776-NN-Email-Podcast-ep2-v3-</t>
  </si>
  <si>
    <t>DG-1797-HSL-EMAIL-Home-Banco-de-Sangue-v2-</t>
  </si>
  <si>
    <t>DG-1795-SC-Email-Pos-ABQV-Saude-Pop-v3-</t>
  </si>
  <si>
    <t>E-mkt</t>
  </si>
  <si>
    <t>DG-1799-HSL-Treinamento-de-Compliance-Convite-v3-</t>
  </si>
  <si>
    <t>DG-1784-A-HSL-Pecas-Evento-Reatech-POST-e-EMAIL</t>
  </si>
  <si>
    <t>DG-1800-A-HSL-Dezembro-Laranja-Parque-Aguas-Claras-CONVITE-v3-</t>
  </si>
  <si>
    <t>1805-A-HSL-Pecas-Afro-Summit-EMAIL-v1</t>
  </si>
  <si>
    <t>DG-1760-HSL-Newsletter-6a-Edicao-Investimentos-Sociais-v4-</t>
  </si>
  <si>
    <t>Primeira tentativa de envio de newsleter com tratamento para dark theme.</t>
  </si>
  <si>
    <t>DG-1830-SC-Bazar-SER-Solidadrio-Email-v2-</t>
  </si>
  <si>
    <t>DG-1835-SC-Novembro-Saude-Petrobras-Geap-EMAIL-v3-3</t>
  </si>
  <si>
    <t>DG-1835-SC-Novembro-Saude-Petrobras-Geap-EMAIL-v3-2</t>
  </si>
  <si>
    <t>DG-1835-SC-Novembro-Saude-Petrobras-Geap-EMAIL-v3-</t>
  </si>
  <si>
    <t>DG-1814-HSL-Novembro-Azul-Email-v4</t>
  </si>
  <si>
    <t>DG-1517-B-HSL-Corrida-SL-2026-EMAIL-ABERTURA-VENDA-GERAL-v5-1</t>
  </si>
  <si>
    <t>DG-1517-B-HSL-Corrida-SL-2026-EMAIL-ABERTURA-VENDA-GERAL-v5-2</t>
  </si>
  <si>
    <t>Criação de componentes para template de Newsletter com HTML</t>
  </si>
  <si>
    <t>https://magor.com.br/siriolibanes/emails/templates/components.html</t>
  </si>
  <si>
    <t>DG-1841-HSL-Newsletter-Institucional-Novembro-v1</t>
  </si>
  <si>
    <t>HTML</t>
  </si>
  <si>
    <t>DG-1841-HSL-Newsletter-Institucional-Novembro-v12</t>
  </si>
  <si>
    <t>DG_1845-EMAIL-SC-Pecas-Beneficiarios-Fechamento-Unidades_1</t>
  </si>
  <si>
    <t>DG_1845-EMAIL-SC-Pecas-Beneficiarios-Fechamento-Unidades_2</t>
  </si>
  <si>
    <t>DG-1848-HSL-E-mail-Saida-Medico-onco_v2</t>
  </si>
  <si>
    <t>DG-1845-EMAIL2-SC-Pecas-Beneficiarios-Fechamento-Unidades-PG</t>
  </si>
  <si>
    <t>DG-1845-EMAIL2-SC-Pecas-Beneficiarios-Fechamento-Unidades-BC</t>
  </si>
  <si>
    <t>Sergio Franco</t>
  </si>
  <si>
    <t>AF_4114D-SergioFranco-Card-Desconto-para-medicos_v3</t>
  </si>
  <si>
    <t>DG-1844-NN-Email-Podcast-ep3-v2-</t>
  </si>
  <si>
    <t>DG-1800-G-HSL-Dezembro-Laranja-Aguas-Claras-REMINDER-v5-</t>
  </si>
  <si>
    <t>DG-1839-HSL-Itaim-Especialidades-Ortopedia-EMAIL-v4-</t>
  </si>
  <si>
    <t>DG-1843-HSL-E-mail-Marketing-Dezembro-Laranja-v5</t>
  </si>
  <si>
    <t>1839-HSL-Itaim-Especialidades-Ortopedia-EMAIL-op2-v6</t>
  </si>
  <si>
    <t>Solicitado duas criações com o mesmo template em texto e em imagem.</t>
  </si>
  <si>
    <t>DG-1517-H-HSL-Corrida-SL-2026-EMAIL-ABERTURA-VENDA-COM-SL-A-CAMINHO-v4</t>
  </si>
  <si>
    <t>DG-1836-SC-Emails-Time-de-Saude-Saude-Petrobras-EMAIL1(1)</t>
  </si>
  <si>
    <t>DG-1836-SC-Emails-Time-de-Saude-Saude-Petrobras-EMAIL2(1)</t>
  </si>
  <si>
    <t>DG-1871-SC-E-mails-Marketing-Saude-Petrobras-e-GEAP-Dezembro-GEAP</t>
  </si>
  <si>
    <t>DG-1871-SC-E-mails-Marketing-Saude-Petrobras-e-GEAP-Dezembro-Petrobras</t>
  </si>
  <si>
    <t>AF-1872-SC-Comunicado-E-mail-Assefaz-v2</t>
  </si>
  <si>
    <t>DG-1517-H-HSL-Corrida-SL-2026-EMAIL-ABERTURA-VENDA-COM-SL-A-CAMINHO-v5</t>
  </si>
  <si>
    <t>DG-1659-EMAIL-HSL-Materiais-Fim-de-Ano-IS-v8</t>
  </si>
  <si>
    <t>DG-1882-HSL-Email-Dona-Denise</t>
  </si>
  <si>
    <t>DG-1875-HSL-News-Internacional-Dezembro-2025-v1</t>
  </si>
  <si>
    <t>DG-1875-HSL-News-Internacional-Dezembro-2025-v12</t>
  </si>
  <si>
    <t>DG-1875-HSL-News-Internacional-Dezembro-2025-v13</t>
  </si>
  <si>
    <t>Huntington</t>
  </si>
  <si>
    <t>0043-Email-Fim-de-ano-Pacientes-e-medicos-MEDICOS-v1</t>
  </si>
  <si>
    <t>DG-1886-NN-Email-Podcast-ep4-v2-</t>
  </si>
  <si>
    <t>0043-Email-Fim-de-ano-Pacientes-e-médicos-PACIENTES-v3</t>
  </si>
  <si>
    <t>AF-0043-Email-Fim-de-ano-Pacientes-e-médicos-PACIENTES-v4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</si>
</sst>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/m/yyyy"/>
  </numFmts>
  <fonts count="9">
    <font>
      <sz val="10.0"/>
      <color rgb="FF000000"/>
      <name val="Arial"/>
      <scheme val="minor"/>
    </font>
    <font>
      <b/>
      <sz val="12.0"/>
      <color rgb="FF0B5394"/>
      <name val="Nunito"/>
    </font>
    <font>
      <color theme="1"/>
      <name val="Nunito"/>
    </font>
    <font>
      <sz val="10.0"/>
      <color theme="1"/>
      <name val="Nunito"/>
    </font>
    <font>
      <sz val="10.0"/>
      <color rgb="FFFF0000"/>
      <name val="Nunito"/>
    </font>
    <font>
      <b/>
      <sz val="12.0"/>
      <color theme="1"/>
      <name val="Nunito"/>
    </font>
    <font>
      <b/>
      <sz val="10.0"/>
      <color theme="1"/>
      <name val="Nunito"/>
    </font>
    <font>
      <color theme="1"/>
      <name val="Arial"/>
      <scheme val="minor"/>
    </font>
    <font>
      <u/>
      <color rgb="FF0000FF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0" fontId="5" numFmtId="165" xfId="0" applyFont="1" applyNumberFormat="1"/>
    <xf borderId="0" fillId="0" fontId="5" numFmtId="0" xfId="0" applyFont="1"/>
    <xf borderId="0" fillId="0" fontId="4" numFmtId="165" xfId="0" applyAlignment="1" applyFont="1" applyNumberFormat="1">
      <alignment horizontal="center" readingOrder="0"/>
    </xf>
    <xf borderId="0" fillId="0" fontId="2" numFmtId="0" xfId="0" applyFont="1"/>
    <xf borderId="0" fillId="0" fontId="3" numFmtId="165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6" numFmtId="165" xfId="0" applyAlignment="1" applyFont="1" applyNumberFormat="1">
      <alignment horizontal="center"/>
    </xf>
    <xf borderId="0" fillId="2" fontId="1" numFmtId="16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4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164" xfId="0" applyAlignment="1" applyFont="1" applyNumberFormat="1">
      <alignment horizontal="left" shrinkToFit="0" wrapText="1"/>
    </xf>
    <xf borderId="0" fillId="2" fontId="1" numFmtId="164" xfId="0" applyAlignment="1" applyFont="1" applyNumberForma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4" xfId="0" applyAlignment="1" applyFont="1" applyNumberForma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2" numFmtId="164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4" xfId="0" applyAlignment="1" applyFont="1" applyNumberFormat="1">
      <alignment horizontal="left" readingOrder="0" vertical="top"/>
    </xf>
    <xf borderId="0" fillId="0" fontId="2" numFmtId="164" xfId="0" applyAlignment="1" applyFont="1" applyNumberFormat="1">
      <alignment horizontal="center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4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center" vertical="top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top" wrapText="1"/>
    </xf>
    <xf borderId="0" fillId="0" fontId="2" numFmtId="166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x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'📊Dashboard'!$D$1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i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'📊Dashboard'!$A$2:$A$12</c:f>
            </c:strRef>
          </c:cat>
          <c:val>
            <c:numRef>
              <c:f>'📊Dashboard'!$D$2:$D$12</c:f>
              <c:numCache/>
            </c:numRef>
          </c:val>
        </c:ser>
        <c:axId val="2046948871"/>
        <c:axId val="1544783694"/>
      </c:barChart>
      <c:catAx>
        <c:axId val="2046948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783694"/>
      </c:catAx>
      <c:valAx>
        <c:axId val="1544783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948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1</xdr:row>
      <xdr:rowOff>114300</xdr:rowOff>
    </xdr:from>
    <xdr:ext cx="4838700" cy="29908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agor.com.br/siriolibanes/emails/templates/components.html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38"/>
    <col customWidth="1" min="3" max="3" width="17.75"/>
    <col customWidth="1" min="4" max="4" width="18.25"/>
    <col customWidth="1" min="5" max="5" width="68.88"/>
  </cols>
  <sheetData>
    <row r="1" ht="39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4" t="s">
        <v>5</v>
      </c>
      <c r="B2" s="5">
        <v>100.0</v>
      </c>
      <c r="C2" s="6"/>
      <c r="D2" s="7">
        <f>SUM(Fevereiro!D:D)*(B2-C2)</f>
        <v>900</v>
      </c>
      <c r="E2" s="8"/>
    </row>
    <row r="3">
      <c r="A3" s="4" t="s">
        <v>6</v>
      </c>
      <c r="B3" s="5">
        <v>100.0</v>
      </c>
      <c r="C3" s="6"/>
      <c r="D3" s="7">
        <f>SUM('Março'!E:E)*(B3-C3)</f>
        <v>1850</v>
      </c>
      <c r="E3" s="8"/>
    </row>
    <row r="4">
      <c r="A4" s="4" t="s">
        <v>7</v>
      </c>
      <c r="B4" s="5">
        <v>100.0</v>
      </c>
      <c r="C4" s="6">
        <f>75*4</f>
        <v>300</v>
      </c>
      <c r="D4" s="7">
        <f>SUM(Abril!E:E)*B4-C4</f>
        <v>2150</v>
      </c>
      <c r="E4" s="8"/>
    </row>
    <row r="5">
      <c r="A5" s="4" t="s">
        <v>8</v>
      </c>
      <c r="B5" s="5">
        <v>100.0</v>
      </c>
      <c r="C5" s="6"/>
      <c r="D5" s="7">
        <f>SUM(Maio!E:E)*(B5-C5)</f>
        <v>2200</v>
      </c>
      <c r="E5" s="8"/>
    </row>
    <row r="6">
      <c r="A6" s="4" t="s">
        <v>9</v>
      </c>
      <c r="B6" s="5">
        <v>100.0</v>
      </c>
      <c r="C6" s="6"/>
      <c r="D6" s="7">
        <f>SUM(Junho!E:E)*(B6-C6)</f>
        <v>1500</v>
      </c>
      <c r="E6" s="8"/>
    </row>
    <row r="7">
      <c r="A7" s="4" t="s">
        <v>10</v>
      </c>
      <c r="B7" s="5">
        <v>100.0</v>
      </c>
      <c r="C7" s="6"/>
      <c r="D7" s="7">
        <f>SUM(Julho!E:E)*(B7-C7)</f>
        <v>1800</v>
      </c>
      <c r="E7" s="8"/>
    </row>
    <row r="8">
      <c r="A8" s="4" t="s">
        <v>11</v>
      </c>
      <c r="B8" s="5">
        <v>100.0</v>
      </c>
      <c r="C8" s="9"/>
      <c r="D8" s="7">
        <f>SUM(Agosto!E:E)*(B8-C8)</f>
        <v>2800</v>
      </c>
      <c r="E8" s="8"/>
    </row>
    <row r="9">
      <c r="A9" s="4" t="s">
        <v>12</v>
      </c>
      <c r="B9" s="5">
        <v>100.0</v>
      </c>
      <c r="C9" s="9"/>
      <c r="D9" s="7">
        <f>SUM(Setembro!E:E)*(B9-C9)</f>
        <v>4300</v>
      </c>
      <c r="E9" s="8"/>
    </row>
    <row r="10">
      <c r="A10" s="4" t="s">
        <v>13</v>
      </c>
      <c r="B10" s="5">
        <v>100.0</v>
      </c>
      <c r="C10" s="9"/>
      <c r="D10" s="7">
        <f>SUM(Outubro!E:E)*(B10-C10)</f>
        <v>3700</v>
      </c>
      <c r="E10" s="8"/>
    </row>
    <row r="11">
      <c r="A11" s="4" t="s">
        <v>14</v>
      </c>
      <c r="B11" s="5">
        <v>100.0</v>
      </c>
      <c r="C11" s="9"/>
      <c r="D11" s="7">
        <f>SUM(Novembro!E:E)*(B11-C11)</f>
        <v>3200</v>
      </c>
      <c r="E11" s="8"/>
    </row>
    <row r="12">
      <c r="A12" s="4" t="s">
        <v>15</v>
      </c>
      <c r="B12" s="5">
        <v>100.0</v>
      </c>
      <c r="C12" s="9"/>
      <c r="D12" s="7">
        <f>SUM(Dezembro!E:E)*(B12-C12)</f>
        <v>1900</v>
      </c>
      <c r="E12" s="8"/>
    </row>
    <row r="13">
      <c r="A13" s="4"/>
      <c r="B13" s="5"/>
      <c r="C13" s="9"/>
      <c r="D13" s="8"/>
      <c r="E13" s="8"/>
    </row>
    <row r="14" ht="3.75" customHeight="1">
      <c r="A14" s="10"/>
      <c r="B14" s="11"/>
      <c r="C14" s="6"/>
      <c r="D14" s="8"/>
      <c r="E14" s="8"/>
    </row>
    <row r="15">
      <c r="A15" s="12" t="s">
        <v>3</v>
      </c>
      <c r="B15" s="13"/>
      <c r="C15" s="6"/>
      <c r="D15" s="7">
        <f>sum(D2:D14)</f>
        <v>26300</v>
      </c>
      <c r="E15" s="8"/>
    </row>
    <row r="16">
      <c r="A16" s="12"/>
      <c r="B16" s="13"/>
      <c r="C16" s="6"/>
      <c r="D16" s="8"/>
      <c r="E16" s="8"/>
    </row>
    <row r="17">
      <c r="A17" s="12"/>
      <c r="B17" s="13"/>
      <c r="C17" s="6"/>
      <c r="D17" s="8"/>
      <c r="E17" s="8"/>
    </row>
    <row r="18">
      <c r="A18" s="12"/>
      <c r="B18" s="13"/>
      <c r="C18" s="6"/>
      <c r="D18" s="8"/>
      <c r="E18" s="8"/>
    </row>
    <row r="19">
      <c r="A19" s="12"/>
      <c r="B19" s="13"/>
      <c r="C19" s="6"/>
      <c r="D19" s="8"/>
      <c r="E19" s="8"/>
    </row>
    <row r="20">
      <c r="A20" s="12"/>
      <c r="B20" s="13"/>
      <c r="C20" s="6"/>
      <c r="D20" s="8"/>
      <c r="E20" s="8"/>
    </row>
    <row r="21">
      <c r="A21" s="12"/>
      <c r="B21" s="13"/>
      <c r="C21" s="6"/>
      <c r="D21" s="8"/>
      <c r="E21" s="8"/>
    </row>
    <row r="22">
      <c r="A22" s="12"/>
      <c r="B22" s="13"/>
      <c r="C22" s="6"/>
      <c r="D22" s="8"/>
      <c r="E22" s="8"/>
    </row>
    <row r="23">
      <c r="A23" s="12"/>
      <c r="B23" s="13"/>
      <c r="C23" s="6"/>
      <c r="D23" s="8"/>
      <c r="E23" s="8"/>
    </row>
    <row r="24">
      <c r="A24" s="12"/>
      <c r="B24" s="13"/>
      <c r="C24" s="6"/>
      <c r="D24" s="8"/>
      <c r="E24" s="8"/>
    </row>
    <row r="25">
      <c r="A25" s="12"/>
      <c r="B25" s="13"/>
      <c r="C25" s="6"/>
      <c r="D25" s="8"/>
      <c r="E25" s="8"/>
    </row>
    <row r="26">
      <c r="A26" s="12"/>
      <c r="B26" s="13"/>
      <c r="C26" s="6"/>
      <c r="D26" s="8"/>
      <c r="E26" s="8"/>
    </row>
    <row r="27">
      <c r="A27" s="12"/>
      <c r="B27" s="13"/>
      <c r="C27" s="6"/>
      <c r="D27" s="8"/>
      <c r="E27" s="8"/>
    </row>
    <row r="28">
      <c r="A28" s="12"/>
      <c r="B28" s="13"/>
      <c r="C28" s="6"/>
      <c r="D28" s="8"/>
      <c r="E28" s="8"/>
    </row>
    <row r="29">
      <c r="A29" s="12"/>
      <c r="B29" s="13"/>
      <c r="C29" s="6"/>
      <c r="D29" s="8"/>
      <c r="E29" s="8"/>
    </row>
    <row r="30">
      <c r="A30" s="12"/>
      <c r="B30" s="13"/>
      <c r="C30" s="6"/>
      <c r="D30" s="8"/>
      <c r="E30" s="8"/>
    </row>
    <row r="31">
      <c r="A31" s="12"/>
      <c r="B31" s="13"/>
      <c r="C31" s="6"/>
      <c r="D31" s="8"/>
      <c r="E31" s="8"/>
    </row>
    <row r="32">
      <c r="A32" s="12"/>
      <c r="B32" s="13"/>
      <c r="C32" s="6"/>
      <c r="D32" s="8"/>
      <c r="E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0.63"/>
    <col customWidth="1" min="4" max="4" width="14.13"/>
    <col customWidth="1" min="5" max="5" width="16.75"/>
  </cols>
  <sheetData>
    <row r="1" ht="41.25" customHeight="1">
      <c r="A1" s="14" t="s">
        <v>16</v>
      </c>
      <c r="B1" s="1" t="s">
        <v>17</v>
      </c>
      <c r="C1" s="15" t="s">
        <v>18</v>
      </c>
      <c r="D1" s="16" t="s">
        <v>19</v>
      </c>
      <c r="E1" s="2" t="s">
        <v>20</v>
      </c>
    </row>
    <row r="2">
      <c r="A2" s="17">
        <v>45694.0</v>
      </c>
      <c r="B2" s="18" t="s">
        <v>21</v>
      </c>
      <c r="C2" s="4" t="s">
        <v>22</v>
      </c>
      <c r="D2" s="19">
        <v>1.0</v>
      </c>
      <c r="E2" s="20">
        <v>45694.0</v>
      </c>
    </row>
    <row r="3">
      <c r="A3" s="17">
        <v>45694.0</v>
      </c>
      <c r="B3" s="18" t="s">
        <v>21</v>
      </c>
      <c r="C3" s="4" t="s">
        <v>23</v>
      </c>
      <c r="D3" s="19">
        <v>1.0</v>
      </c>
      <c r="E3" s="20">
        <v>45694.0</v>
      </c>
    </row>
    <row r="4">
      <c r="A4" s="17">
        <v>45694.0</v>
      </c>
      <c r="B4" s="18" t="s">
        <v>21</v>
      </c>
      <c r="C4" s="4" t="s">
        <v>24</v>
      </c>
      <c r="D4" s="19">
        <v>1.0</v>
      </c>
      <c r="E4" s="20">
        <v>45694.0</v>
      </c>
    </row>
    <row r="5">
      <c r="A5" s="17">
        <v>45695.0</v>
      </c>
      <c r="B5" s="18" t="s">
        <v>21</v>
      </c>
      <c r="C5" s="4" t="s">
        <v>25</v>
      </c>
      <c r="D5" s="19">
        <v>1.0</v>
      </c>
      <c r="E5" s="20">
        <v>45815.0</v>
      </c>
    </row>
    <row r="6">
      <c r="A6" s="17">
        <v>45701.0</v>
      </c>
      <c r="B6" s="18" t="s">
        <v>21</v>
      </c>
      <c r="C6" s="4" t="s">
        <v>26</v>
      </c>
      <c r="D6" s="19">
        <v>1.0</v>
      </c>
      <c r="E6" s="20">
        <v>45701.0</v>
      </c>
    </row>
    <row r="7">
      <c r="A7" s="17">
        <v>45707.0</v>
      </c>
      <c r="B7" s="18" t="s">
        <v>21</v>
      </c>
      <c r="C7" s="4" t="s">
        <v>27</v>
      </c>
      <c r="D7" s="19">
        <v>1.0</v>
      </c>
      <c r="E7" s="20">
        <v>45707.0</v>
      </c>
    </row>
    <row r="8">
      <c r="A8" s="17">
        <v>45708.0</v>
      </c>
      <c r="B8" s="18" t="s">
        <v>21</v>
      </c>
      <c r="C8" s="4" t="s">
        <v>28</v>
      </c>
      <c r="D8" s="19">
        <v>1.0</v>
      </c>
      <c r="E8" s="20">
        <v>45708.0</v>
      </c>
    </row>
    <row r="9">
      <c r="A9" s="17">
        <v>45708.0</v>
      </c>
      <c r="B9" s="18" t="s">
        <v>21</v>
      </c>
      <c r="C9" s="4" t="s">
        <v>29</v>
      </c>
      <c r="D9" s="19">
        <v>1.0</v>
      </c>
      <c r="E9" s="20">
        <v>45708.0</v>
      </c>
    </row>
    <row r="10">
      <c r="A10" s="17">
        <v>45715.0</v>
      </c>
      <c r="B10" s="18" t="s">
        <v>21</v>
      </c>
      <c r="C10" s="4" t="s">
        <v>30</v>
      </c>
      <c r="D10" s="19">
        <v>1.0</v>
      </c>
      <c r="E10" s="20">
        <v>45715.0</v>
      </c>
    </row>
    <row r="11">
      <c r="A11" s="21"/>
      <c r="B11" s="22"/>
      <c r="C11" s="10"/>
      <c r="D11" s="23"/>
      <c r="E11" s="24"/>
    </row>
    <row r="12">
      <c r="A12" s="21"/>
      <c r="B12" s="22"/>
      <c r="C12" s="10"/>
      <c r="D12" s="23"/>
      <c r="E12" s="24"/>
    </row>
    <row r="13">
      <c r="A13" s="21"/>
      <c r="B13" s="22"/>
      <c r="C13" s="10"/>
      <c r="D13" s="23"/>
      <c r="E13" s="24"/>
    </row>
    <row r="14">
      <c r="A14" s="21"/>
      <c r="B14" s="22"/>
      <c r="C14" s="10"/>
      <c r="D14" s="23"/>
      <c r="E14" s="24"/>
    </row>
    <row r="15">
      <c r="A15" s="21"/>
      <c r="B15" s="22"/>
      <c r="C15" s="10"/>
      <c r="D15" s="23"/>
      <c r="E15" s="24"/>
    </row>
    <row r="16">
      <c r="A16" s="21"/>
      <c r="B16" s="22"/>
      <c r="C16" s="10"/>
      <c r="D16" s="23"/>
      <c r="E16" s="24"/>
    </row>
    <row r="17">
      <c r="A17" s="21"/>
      <c r="B17" s="22"/>
      <c r="C17" s="10"/>
      <c r="D17" s="23"/>
      <c r="E17" s="24"/>
    </row>
    <row r="18">
      <c r="A18" s="21"/>
      <c r="B18" s="22"/>
      <c r="C18" s="10"/>
      <c r="D18" s="23"/>
      <c r="E18" s="24"/>
    </row>
    <row r="19">
      <c r="A19" s="21"/>
      <c r="B19" s="22"/>
      <c r="C19" s="10"/>
      <c r="D19" s="23"/>
      <c r="E19" s="24"/>
    </row>
    <row r="20">
      <c r="A20" s="21"/>
      <c r="B20" s="22"/>
      <c r="C20" s="10"/>
      <c r="D20" s="23"/>
      <c r="E20" s="24"/>
    </row>
    <row r="21">
      <c r="A21" s="21"/>
      <c r="B21" s="22"/>
      <c r="C21" s="10"/>
      <c r="D21" s="23"/>
      <c r="E21" s="24"/>
    </row>
    <row r="22">
      <c r="A22" s="21"/>
      <c r="B22" s="22"/>
      <c r="C22" s="10"/>
      <c r="D22" s="23"/>
      <c r="E22" s="24"/>
    </row>
    <row r="23">
      <c r="A23" s="21"/>
      <c r="B23" s="22"/>
      <c r="C23" s="10"/>
      <c r="D23" s="23"/>
      <c r="E23" s="24"/>
    </row>
    <row r="24">
      <c r="A24" s="21"/>
      <c r="B24" s="22"/>
      <c r="C24" s="10"/>
      <c r="D24" s="23"/>
      <c r="E24" s="24"/>
    </row>
    <row r="25">
      <c r="A25" s="21"/>
      <c r="B25" s="22"/>
      <c r="C25" s="10"/>
      <c r="D25" s="23"/>
      <c r="E25" s="24"/>
    </row>
    <row r="26">
      <c r="A26" s="21"/>
      <c r="B26" s="22"/>
      <c r="C26" s="10"/>
      <c r="D26" s="23"/>
      <c r="E26" s="24"/>
    </row>
    <row r="27">
      <c r="A27" s="21"/>
      <c r="B27" s="22"/>
      <c r="C27" s="10"/>
      <c r="D27" s="23"/>
      <c r="E27" s="24"/>
    </row>
    <row r="28">
      <c r="A28" s="21"/>
      <c r="B28" s="22"/>
      <c r="C28" s="10"/>
      <c r="D28" s="23"/>
      <c r="E28" s="24"/>
    </row>
    <row r="29">
      <c r="A29" s="21"/>
      <c r="B29" s="22"/>
      <c r="C29" s="10"/>
      <c r="D29" s="23"/>
      <c r="E29" s="24"/>
    </row>
    <row r="30">
      <c r="A30" s="21"/>
      <c r="B30" s="22"/>
      <c r="C30" s="10"/>
      <c r="D30" s="23"/>
      <c r="E30" s="24"/>
    </row>
  </sheetData>
  <printOptions horizontalCentered="1"/>
  <pageMargins bottom="0.75" footer="0.0" header="0.0" left="0.7" right="0.7" top="0.75"/>
  <pageSetup fitToHeight="0" paperSize="9" orientation="landscape" pageOrder="overThenDown"/>
  <headerFooter>
    <oddHeader>&amp;LMagor&amp;C&amp;F&amp;R&amp;A</oddHeader>
    <oddFooter>&amp;LEmitido em &amp;D &amp;T&amp;R&amp;P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0.63"/>
    <col customWidth="1" min="5" max="5" width="10.75"/>
    <col customWidth="1" min="6" max="6" width="15.25"/>
    <col customWidth="1" min="7" max="7" width="49.25"/>
  </cols>
  <sheetData>
    <row r="1" ht="41.25" customHeight="1">
      <c r="A1" s="14" t="s">
        <v>16</v>
      </c>
      <c r="B1" s="1" t="s">
        <v>17</v>
      </c>
      <c r="C1" s="15" t="s">
        <v>31</v>
      </c>
      <c r="D1" s="15" t="s">
        <v>18</v>
      </c>
      <c r="E1" s="16" t="s">
        <v>32</v>
      </c>
      <c r="F1" s="2" t="s">
        <v>20</v>
      </c>
      <c r="G1" s="1" t="s">
        <v>33</v>
      </c>
    </row>
    <row r="2">
      <c r="A2" s="17">
        <v>45721.0</v>
      </c>
      <c r="B2" s="18" t="s">
        <v>34</v>
      </c>
      <c r="C2" s="4" t="s">
        <v>35</v>
      </c>
      <c r="D2" s="4" t="s">
        <v>36</v>
      </c>
      <c r="E2" s="19">
        <v>1.5</v>
      </c>
      <c r="F2" s="20">
        <v>45721.0</v>
      </c>
      <c r="G2" s="25" t="s">
        <v>37</v>
      </c>
    </row>
    <row r="3">
      <c r="A3" s="17">
        <v>45723.0</v>
      </c>
      <c r="B3" s="18" t="s">
        <v>34</v>
      </c>
      <c r="C3" s="4" t="s">
        <v>35</v>
      </c>
      <c r="D3" s="4" t="s">
        <v>38</v>
      </c>
      <c r="E3" s="19">
        <v>1.0</v>
      </c>
      <c r="F3" s="20">
        <v>45723.0</v>
      </c>
      <c r="G3" s="26"/>
    </row>
    <row r="4">
      <c r="A4" s="17">
        <v>45726.0</v>
      </c>
      <c r="B4" s="18" t="s">
        <v>34</v>
      </c>
      <c r="C4" s="4" t="s">
        <v>35</v>
      </c>
      <c r="D4" s="4" t="s">
        <v>39</v>
      </c>
      <c r="E4" s="19">
        <v>0.5</v>
      </c>
      <c r="F4" s="20">
        <v>45726.0</v>
      </c>
      <c r="G4" s="26"/>
    </row>
    <row r="5">
      <c r="A5" s="17">
        <v>38428.0</v>
      </c>
      <c r="B5" s="18" t="s">
        <v>34</v>
      </c>
      <c r="C5" s="4" t="s">
        <v>35</v>
      </c>
      <c r="D5" s="4" t="s">
        <v>40</v>
      </c>
      <c r="E5" s="19">
        <v>1.0</v>
      </c>
      <c r="F5" s="20">
        <v>45733.0</v>
      </c>
      <c r="G5" s="26"/>
    </row>
    <row r="6">
      <c r="A6" s="17">
        <v>38428.0</v>
      </c>
      <c r="B6" s="18" t="s">
        <v>34</v>
      </c>
      <c r="C6" s="4" t="s">
        <v>35</v>
      </c>
      <c r="D6" s="4" t="s">
        <v>41</v>
      </c>
      <c r="E6" s="19">
        <v>1.0</v>
      </c>
      <c r="F6" s="20">
        <v>45733.0</v>
      </c>
      <c r="G6" s="26"/>
    </row>
    <row r="7">
      <c r="A7" s="17">
        <v>38428.0</v>
      </c>
      <c r="B7" s="18" t="s">
        <v>34</v>
      </c>
      <c r="C7" s="4" t="s">
        <v>35</v>
      </c>
      <c r="D7" s="4" t="s">
        <v>42</v>
      </c>
      <c r="E7" s="19">
        <v>1.0</v>
      </c>
      <c r="F7" s="20">
        <v>45733.0</v>
      </c>
      <c r="G7" s="26"/>
    </row>
    <row r="8">
      <c r="A8" s="17">
        <v>38428.0</v>
      </c>
      <c r="B8" s="18" t="s">
        <v>34</v>
      </c>
      <c r="C8" s="4" t="s">
        <v>35</v>
      </c>
      <c r="D8" s="4" t="s">
        <v>43</v>
      </c>
      <c r="E8" s="19">
        <v>1.0</v>
      </c>
      <c r="F8" s="20">
        <v>45733.0</v>
      </c>
      <c r="G8" s="26"/>
    </row>
    <row r="9">
      <c r="A9" s="17">
        <v>38428.0</v>
      </c>
      <c r="B9" s="18" t="s">
        <v>34</v>
      </c>
      <c r="C9" s="4" t="s">
        <v>35</v>
      </c>
      <c r="D9" s="4" t="s">
        <v>44</v>
      </c>
      <c r="E9" s="19">
        <v>1.0</v>
      </c>
      <c r="F9" s="20">
        <v>45733.0</v>
      </c>
      <c r="G9" s="25" t="s">
        <v>45</v>
      </c>
    </row>
    <row r="10">
      <c r="A10" s="17">
        <v>45736.0</v>
      </c>
      <c r="B10" s="18" t="s">
        <v>34</v>
      </c>
      <c r="C10" s="4" t="s">
        <v>35</v>
      </c>
      <c r="D10" s="4" t="s">
        <v>46</v>
      </c>
      <c r="E10" s="19">
        <v>1.0</v>
      </c>
      <c r="F10" s="20">
        <v>45736.0</v>
      </c>
      <c r="G10" s="26"/>
    </row>
    <row r="11">
      <c r="A11" s="17">
        <v>45737.0</v>
      </c>
      <c r="B11" s="18" t="s">
        <v>34</v>
      </c>
      <c r="C11" s="4" t="s">
        <v>35</v>
      </c>
      <c r="D11" s="4" t="s">
        <v>47</v>
      </c>
      <c r="E11" s="19">
        <v>1.0</v>
      </c>
      <c r="F11" s="20">
        <v>45737.0</v>
      </c>
      <c r="G11" s="27"/>
    </row>
    <row r="12">
      <c r="A12" s="17">
        <v>45737.0</v>
      </c>
      <c r="B12" s="18" t="s">
        <v>34</v>
      </c>
      <c r="C12" s="4" t="s">
        <v>35</v>
      </c>
      <c r="D12" s="4" t="s">
        <v>48</v>
      </c>
      <c r="E12" s="19">
        <v>1.0</v>
      </c>
      <c r="F12" s="20">
        <v>45737.0</v>
      </c>
      <c r="G12" s="27"/>
    </row>
    <row r="13">
      <c r="A13" s="17">
        <v>45737.0</v>
      </c>
      <c r="B13" s="18" t="s">
        <v>34</v>
      </c>
      <c r="C13" s="4" t="s">
        <v>35</v>
      </c>
      <c r="D13" s="4" t="s">
        <v>49</v>
      </c>
      <c r="E13" s="19">
        <v>1.0</v>
      </c>
      <c r="F13" s="20">
        <v>45737.0</v>
      </c>
      <c r="G13" s="27"/>
    </row>
    <row r="14">
      <c r="A14" s="17">
        <v>45741.0</v>
      </c>
      <c r="B14" s="18" t="s">
        <v>34</v>
      </c>
      <c r="C14" s="4" t="s">
        <v>35</v>
      </c>
      <c r="D14" s="4" t="s">
        <v>50</v>
      </c>
      <c r="E14" s="19">
        <v>1.0</v>
      </c>
      <c r="F14" s="20">
        <v>45741.0</v>
      </c>
      <c r="G14" s="27"/>
    </row>
    <row r="15">
      <c r="A15" s="17">
        <v>45741.0</v>
      </c>
      <c r="B15" s="18" t="s">
        <v>34</v>
      </c>
      <c r="C15" s="4" t="s">
        <v>51</v>
      </c>
      <c r="D15" s="4" t="s">
        <v>52</v>
      </c>
      <c r="E15" s="19">
        <v>1.0</v>
      </c>
      <c r="F15" s="20">
        <v>45741.0</v>
      </c>
      <c r="G15" s="25"/>
    </row>
    <row r="16">
      <c r="A16" s="17">
        <v>45741.0</v>
      </c>
      <c r="B16" s="18" t="s">
        <v>34</v>
      </c>
      <c r="C16" s="4" t="s">
        <v>51</v>
      </c>
      <c r="D16" s="4" t="s">
        <v>53</v>
      </c>
      <c r="E16" s="19">
        <v>1.0</v>
      </c>
      <c r="F16" s="20">
        <v>45741.0</v>
      </c>
      <c r="G16" s="25"/>
    </row>
    <row r="17">
      <c r="A17" s="17">
        <v>45743.0</v>
      </c>
      <c r="B17" s="18" t="s">
        <v>34</v>
      </c>
      <c r="C17" s="4" t="s">
        <v>35</v>
      </c>
      <c r="D17" s="4" t="s">
        <v>54</v>
      </c>
      <c r="E17" s="19">
        <v>0.5</v>
      </c>
      <c r="F17" s="20">
        <v>45743.0</v>
      </c>
      <c r="G17" s="27"/>
    </row>
    <row r="18">
      <c r="A18" s="17">
        <v>45744.0</v>
      </c>
      <c r="B18" s="18" t="s">
        <v>34</v>
      </c>
      <c r="C18" s="4" t="s">
        <v>51</v>
      </c>
      <c r="D18" s="4" t="s">
        <v>55</v>
      </c>
      <c r="E18" s="19">
        <v>1.5</v>
      </c>
      <c r="F18" s="20">
        <v>46474.0</v>
      </c>
      <c r="G18" s="25" t="s">
        <v>56</v>
      </c>
    </row>
    <row r="19">
      <c r="A19" s="17">
        <v>45744.0</v>
      </c>
      <c r="B19" s="18" t="s">
        <v>34</v>
      </c>
      <c r="C19" s="4" t="s">
        <v>51</v>
      </c>
      <c r="D19" s="4" t="s">
        <v>57</v>
      </c>
      <c r="E19" s="19">
        <v>1.5</v>
      </c>
      <c r="F19" s="20">
        <v>46474.0</v>
      </c>
      <c r="G19" s="25" t="s">
        <v>56</v>
      </c>
    </row>
    <row r="20">
      <c r="A20" s="21"/>
      <c r="B20" s="22"/>
      <c r="C20" s="10"/>
      <c r="D20" s="10"/>
      <c r="E20" s="23"/>
      <c r="F20" s="24"/>
      <c r="G20" s="27"/>
    </row>
    <row r="21">
      <c r="A21" s="21"/>
      <c r="B21" s="22"/>
      <c r="C21" s="10"/>
      <c r="D21" s="10"/>
      <c r="E21" s="23"/>
      <c r="F21" s="24"/>
      <c r="G21" s="27"/>
    </row>
    <row r="22">
      <c r="A22" s="21"/>
      <c r="B22" s="22"/>
      <c r="C22" s="10"/>
      <c r="D22" s="10"/>
      <c r="E22" s="23"/>
      <c r="F22" s="24"/>
      <c r="G22" s="27"/>
    </row>
    <row r="23">
      <c r="A23" s="21"/>
      <c r="B23" s="22"/>
      <c r="C23" s="10"/>
      <c r="D23" s="10"/>
      <c r="E23" s="23"/>
      <c r="F23" s="24"/>
      <c r="G23" s="27"/>
    </row>
    <row r="24">
      <c r="A24" s="21"/>
      <c r="B24" s="22"/>
      <c r="C24" s="10"/>
      <c r="D24" s="10"/>
      <c r="E24" s="23"/>
      <c r="F24" s="24"/>
      <c r="G24" s="27"/>
    </row>
    <row r="25">
      <c r="A25" s="21"/>
      <c r="B25" s="22"/>
      <c r="C25" s="10"/>
      <c r="D25" s="10"/>
      <c r="E25" s="23"/>
      <c r="F25" s="24"/>
      <c r="G25" s="27"/>
    </row>
    <row r="26">
      <c r="A26" s="21"/>
      <c r="B26" s="22"/>
      <c r="C26" s="10"/>
      <c r="D26" s="10"/>
      <c r="E26" s="23"/>
      <c r="F26" s="24"/>
      <c r="G26" s="27"/>
    </row>
    <row r="27">
      <c r="A27" s="21"/>
      <c r="B27" s="22"/>
      <c r="C27" s="10"/>
      <c r="D27" s="10"/>
      <c r="E27" s="23"/>
      <c r="F27" s="24"/>
      <c r="G27" s="27"/>
    </row>
    <row r="28">
      <c r="A28" s="21"/>
      <c r="B28" s="22"/>
      <c r="C28" s="10"/>
      <c r="D28" s="10"/>
      <c r="E28" s="23"/>
      <c r="F28" s="24"/>
      <c r="G28" s="27"/>
    </row>
    <row r="29">
      <c r="A29" s="21"/>
      <c r="B29" s="22"/>
      <c r="C29" s="10"/>
      <c r="D29" s="10"/>
      <c r="E29" s="23"/>
      <c r="F29" s="24"/>
      <c r="G29" s="27"/>
    </row>
    <row r="30">
      <c r="A30" s="21"/>
      <c r="B30" s="22"/>
      <c r="C30" s="10"/>
      <c r="D30" s="10"/>
      <c r="E30" s="23"/>
      <c r="F30" s="24"/>
      <c r="G30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0.63"/>
    <col customWidth="1" min="5" max="5" width="10.75"/>
    <col customWidth="1" min="6" max="6" width="15.25"/>
    <col customWidth="1" min="7" max="7" width="40.75"/>
  </cols>
  <sheetData>
    <row r="1" ht="44.25" customHeight="1">
      <c r="A1" s="28" t="s">
        <v>16</v>
      </c>
      <c r="B1" s="29" t="s">
        <v>17</v>
      </c>
      <c r="C1" s="30" t="s">
        <v>31</v>
      </c>
      <c r="D1" s="30" t="s">
        <v>18</v>
      </c>
      <c r="E1" s="31" t="s">
        <v>32</v>
      </c>
      <c r="F1" s="32" t="s">
        <v>20</v>
      </c>
      <c r="G1" s="29" t="s">
        <v>33</v>
      </c>
    </row>
    <row r="2">
      <c r="A2" s="33">
        <v>45748.0</v>
      </c>
      <c r="B2" s="34" t="s">
        <v>34</v>
      </c>
      <c r="C2" s="35" t="s">
        <v>35</v>
      </c>
      <c r="D2" s="35" t="s">
        <v>58</v>
      </c>
      <c r="E2" s="36">
        <v>1.0</v>
      </c>
      <c r="F2" s="37">
        <v>45748.0</v>
      </c>
      <c r="G2" s="38" t="s">
        <v>59</v>
      </c>
    </row>
    <row r="3">
      <c r="A3" s="33">
        <v>45748.0</v>
      </c>
      <c r="B3" s="34" t="s">
        <v>34</v>
      </c>
      <c r="C3" s="35" t="s">
        <v>51</v>
      </c>
      <c r="D3" s="35" t="s">
        <v>60</v>
      </c>
      <c r="E3" s="36">
        <v>1.0</v>
      </c>
      <c r="F3" s="37">
        <v>45748.0</v>
      </c>
      <c r="G3" s="39"/>
    </row>
    <row r="4">
      <c r="A4" s="33">
        <v>45748.0</v>
      </c>
      <c r="B4" s="34" t="s">
        <v>34</v>
      </c>
      <c r="C4" s="35" t="s">
        <v>51</v>
      </c>
      <c r="D4" s="35" t="s">
        <v>61</v>
      </c>
      <c r="E4" s="36">
        <v>1.0</v>
      </c>
      <c r="F4" s="37">
        <v>45748.0</v>
      </c>
      <c r="G4" s="39"/>
    </row>
    <row r="5">
      <c r="A5" s="33">
        <v>45748.0</v>
      </c>
      <c r="B5" s="34" t="s">
        <v>34</v>
      </c>
      <c r="C5" s="35" t="s">
        <v>51</v>
      </c>
      <c r="D5" s="35" t="s">
        <v>62</v>
      </c>
      <c r="E5" s="36">
        <v>1.0</v>
      </c>
      <c r="F5" s="37">
        <v>45748.0</v>
      </c>
      <c r="G5" s="39"/>
    </row>
    <row r="6">
      <c r="A6" s="33">
        <v>45748.0</v>
      </c>
      <c r="B6" s="34" t="s">
        <v>34</v>
      </c>
      <c r="C6" s="35" t="s">
        <v>51</v>
      </c>
      <c r="D6" s="35" t="s">
        <v>63</v>
      </c>
      <c r="E6" s="36">
        <v>1.0</v>
      </c>
      <c r="F6" s="37">
        <v>45748.0</v>
      </c>
      <c r="G6" s="39"/>
    </row>
    <row r="7">
      <c r="A7" s="33">
        <v>45748.0</v>
      </c>
      <c r="B7" s="34" t="s">
        <v>34</v>
      </c>
      <c r="C7" s="35" t="s">
        <v>51</v>
      </c>
      <c r="D7" s="35" t="s">
        <v>64</v>
      </c>
      <c r="E7" s="36">
        <v>1.0</v>
      </c>
      <c r="F7" s="37">
        <v>45748.0</v>
      </c>
      <c r="G7" s="39"/>
    </row>
    <row r="8">
      <c r="A8" s="33">
        <v>45748.0</v>
      </c>
      <c r="B8" s="34" t="s">
        <v>34</v>
      </c>
      <c r="C8" s="35" t="s">
        <v>51</v>
      </c>
      <c r="D8" s="35" t="s">
        <v>65</v>
      </c>
      <c r="E8" s="36">
        <v>1.0</v>
      </c>
      <c r="F8" s="37">
        <v>45748.0</v>
      </c>
      <c r="G8" s="39"/>
    </row>
    <row r="9">
      <c r="A9" s="33">
        <v>45750.0</v>
      </c>
      <c r="B9" s="34" t="s">
        <v>34</v>
      </c>
      <c r="C9" s="35" t="s">
        <v>35</v>
      </c>
      <c r="D9" s="35" t="s">
        <v>66</v>
      </c>
      <c r="E9" s="36">
        <v>1.0</v>
      </c>
      <c r="F9" s="37">
        <v>45750.0</v>
      </c>
      <c r="G9" s="38"/>
    </row>
    <row r="10">
      <c r="A10" s="33">
        <v>45750.0</v>
      </c>
      <c r="B10" s="34" t="s">
        <v>34</v>
      </c>
      <c r="C10" s="35" t="s">
        <v>35</v>
      </c>
      <c r="D10" s="35" t="s">
        <v>67</v>
      </c>
      <c r="E10" s="36">
        <v>1.0</v>
      </c>
      <c r="F10" s="37">
        <v>45750.0</v>
      </c>
      <c r="G10" s="39"/>
    </row>
    <row r="11">
      <c r="A11" s="33">
        <v>45751.0</v>
      </c>
      <c r="B11" s="34" t="s">
        <v>34</v>
      </c>
      <c r="C11" s="35" t="s">
        <v>51</v>
      </c>
      <c r="D11" s="35" t="s">
        <v>68</v>
      </c>
      <c r="E11" s="36">
        <v>5.0</v>
      </c>
      <c r="F11" s="37">
        <v>45751.0</v>
      </c>
      <c r="G11" s="38" t="s">
        <v>69</v>
      </c>
    </row>
    <row r="12">
      <c r="A12" s="33">
        <v>45756.0</v>
      </c>
      <c r="B12" s="34" t="s">
        <v>34</v>
      </c>
      <c r="C12" s="35" t="s">
        <v>35</v>
      </c>
      <c r="D12" s="35" t="s">
        <v>70</v>
      </c>
      <c r="E12" s="36">
        <v>1.0</v>
      </c>
      <c r="F12" s="37">
        <v>45756.0</v>
      </c>
      <c r="G12" s="40"/>
    </row>
    <row r="13">
      <c r="A13" s="33">
        <v>45756.0</v>
      </c>
      <c r="B13" s="34" t="s">
        <v>34</v>
      </c>
      <c r="C13" s="35" t="s">
        <v>35</v>
      </c>
      <c r="D13" s="35" t="s">
        <v>71</v>
      </c>
      <c r="E13" s="36">
        <v>1.0</v>
      </c>
      <c r="F13" s="37">
        <v>45756.0</v>
      </c>
      <c r="G13" s="40"/>
    </row>
    <row r="14">
      <c r="A14" s="33">
        <v>45756.0</v>
      </c>
      <c r="B14" s="34" t="s">
        <v>34</v>
      </c>
      <c r="C14" s="35" t="s">
        <v>35</v>
      </c>
      <c r="D14" s="35" t="s">
        <v>72</v>
      </c>
      <c r="E14" s="36">
        <v>1.0</v>
      </c>
      <c r="F14" s="37">
        <v>45756.0</v>
      </c>
      <c r="G14" s="40"/>
    </row>
    <row r="15">
      <c r="A15" s="33">
        <v>45757.0</v>
      </c>
      <c r="B15" s="34" t="s">
        <v>34</v>
      </c>
      <c r="C15" s="35" t="s">
        <v>51</v>
      </c>
      <c r="D15" s="35" t="s">
        <v>73</v>
      </c>
      <c r="E15" s="36">
        <v>1.5</v>
      </c>
      <c r="F15" s="37">
        <v>45757.0</v>
      </c>
      <c r="G15" s="38" t="s">
        <v>74</v>
      </c>
    </row>
    <row r="16">
      <c r="A16" s="33">
        <v>45758.0</v>
      </c>
      <c r="B16" s="34" t="s">
        <v>34</v>
      </c>
      <c r="C16" s="35" t="s">
        <v>35</v>
      </c>
      <c r="D16" s="35" t="s">
        <v>75</v>
      </c>
      <c r="E16" s="36">
        <v>1.0</v>
      </c>
      <c r="F16" s="37">
        <v>45758.0</v>
      </c>
      <c r="G16" s="38"/>
    </row>
    <row r="17">
      <c r="A17" s="33">
        <v>45761.0</v>
      </c>
      <c r="B17" s="34" t="s">
        <v>34</v>
      </c>
      <c r="C17" s="35" t="s">
        <v>35</v>
      </c>
      <c r="D17" s="35" t="s">
        <v>76</v>
      </c>
      <c r="E17" s="36">
        <v>1.0</v>
      </c>
      <c r="F17" s="37">
        <v>45761.0</v>
      </c>
      <c r="G17" s="40"/>
    </row>
    <row r="18">
      <c r="A18" s="33">
        <v>45761.0</v>
      </c>
      <c r="B18" s="34" t="s">
        <v>34</v>
      </c>
      <c r="C18" s="35" t="s">
        <v>35</v>
      </c>
      <c r="D18" s="35" t="s">
        <v>77</v>
      </c>
      <c r="E18" s="36">
        <v>1.0</v>
      </c>
      <c r="F18" s="37">
        <v>45761.0</v>
      </c>
      <c r="G18" s="38"/>
    </row>
    <row r="19">
      <c r="A19" s="33">
        <v>45769.0</v>
      </c>
      <c r="B19" s="34" t="s">
        <v>34</v>
      </c>
      <c r="C19" s="35" t="s">
        <v>35</v>
      </c>
      <c r="D19" s="35" t="s">
        <v>78</v>
      </c>
      <c r="E19" s="36">
        <v>1.0</v>
      </c>
      <c r="F19" s="37">
        <v>45769.0</v>
      </c>
      <c r="G19" s="38"/>
    </row>
    <row r="20">
      <c r="A20" s="33">
        <v>45772.0</v>
      </c>
      <c r="B20" s="34" t="s">
        <v>34</v>
      </c>
      <c r="C20" s="35" t="s">
        <v>35</v>
      </c>
      <c r="D20" s="35" t="s">
        <v>79</v>
      </c>
      <c r="E20" s="36">
        <v>1.0</v>
      </c>
      <c r="F20" s="37">
        <v>45772.0</v>
      </c>
      <c r="G20" s="38" t="s">
        <v>80</v>
      </c>
    </row>
    <row r="21">
      <c r="A21" s="33">
        <v>45777.0</v>
      </c>
      <c r="B21" s="34" t="s">
        <v>34</v>
      </c>
      <c r="C21" s="35" t="s">
        <v>35</v>
      </c>
      <c r="D21" s="35" t="s">
        <v>81</v>
      </c>
      <c r="E21" s="36">
        <v>1.0</v>
      </c>
      <c r="F21" s="37">
        <v>45777.0</v>
      </c>
      <c r="G21" s="40"/>
    </row>
    <row r="22">
      <c r="A22" s="41"/>
      <c r="B22" s="42"/>
      <c r="C22" s="43"/>
      <c r="D22" s="43"/>
      <c r="E22" s="44"/>
      <c r="F22" s="45"/>
      <c r="G22" s="40"/>
    </row>
    <row r="23">
      <c r="A23" s="41"/>
      <c r="B23" s="42"/>
      <c r="C23" s="43"/>
      <c r="D23" s="43"/>
      <c r="E23" s="44"/>
      <c r="F23" s="45"/>
      <c r="G23" s="40"/>
    </row>
    <row r="24">
      <c r="A24" s="41"/>
      <c r="B24" s="42"/>
      <c r="C24" s="43"/>
      <c r="D24" s="43"/>
      <c r="E24" s="44"/>
      <c r="F24" s="45"/>
      <c r="G24" s="40"/>
    </row>
    <row r="25">
      <c r="A25" s="41"/>
      <c r="B25" s="42"/>
      <c r="C25" s="43"/>
      <c r="D25" s="43"/>
      <c r="E25" s="44"/>
      <c r="F25" s="45"/>
      <c r="G25" s="40"/>
    </row>
    <row r="26">
      <c r="A26" s="41"/>
      <c r="B26" s="42"/>
      <c r="C26" s="43"/>
      <c r="D26" s="43"/>
      <c r="E26" s="44"/>
      <c r="F26" s="45"/>
      <c r="G26" s="40"/>
    </row>
    <row r="27">
      <c r="A27" s="41"/>
      <c r="B27" s="42"/>
      <c r="C27" s="43"/>
      <c r="D27" s="43"/>
      <c r="E27" s="44"/>
      <c r="F27" s="45"/>
      <c r="G27" s="40"/>
    </row>
    <row r="28">
      <c r="A28" s="41"/>
      <c r="B28" s="42"/>
      <c r="C28" s="43"/>
      <c r="D28" s="43"/>
      <c r="E28" s="44"/>
      <c r="F28" s="45"/>
      <c r="G28" s="40"/>
    </row>
    <row r="29">
      <c r="A29" s="41"/>
      <c r="B29" s="42"/>
      <c r="C29" s="43"/>
      <c r="D29" s="43"/>
      <c r="E29" s="44"/>
      <c r="F29" s="45"/>
      <c r="G29" s="40"/>
    </row>
    <row r="30">
      <c r="A30" s="41"/>
      <c r="B30" s="42"/>
      <c r="C30" s="43"/>
      <c r="D30" s="43"/>
      <c r="E30" s="44"/>
      <c r="F30" s="45"/>
      <c r="G30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0.63"/>
    <col customWidth="1" min="5" max="5" width="10.75"/>
    <col customWidth="1" min="6" max="6" width="15.25"/>
    <col customWidth="1" min="7" max="7" width="41.5"/>
  </cols>
  <sheetData>
    <row r="1" ht="44.25" customHeight="1">
      <c r="A1" s="28" t="s">
        <v>16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45779.0</v>
      </c>
      <c r="B2" s="34" t="s">
        <v>21</v>
      </c>
      <c r="C2" s="35" t="s">
        <v>35</v>
      </c>
      <c r="D2" s="35" t="s">
        <v>83</v>
      </c>
      <c r="E2" s="36">
        <v>1.0</v>
      </c>
      <c r="F2" s="33">
        <v>45782.0</v>
      </c>
      <c r="G2" s="38"/>
    </row>
    <row r="3">
      <c r="A3" s="33">
        <v>45779.0</v>
      </c>
      <c r="B3" s="34" t="s">
        <v>21</v>
      </c>
      <c r="C3" s="35" t="s">
        <v>35</v>
      </c>
      <c r="D3" s="35" t="s">
        <v>84</v>
      </c>
      <c r="E3" s="36">
        <v>1.0</v>
      </c>
      <c r="F3" s="33">
        <v>45782.0</v>
      </c>
      <c r="G3" s="39"/>
    </row>
    <row r="4">
      <c r="A4" s="33">
        <v>45782.0</v>
      </c>
      <c r="B4" s="34" t="s">
        <v>21</v>
      </c>
      <c r="C4" s="35" t="s">
        <v>35</v>
      </c>
      <c r="D4" s="35" t="s">
        <v>85</v>
      </c>
      <c r="E4" s="36">
        <v>1.0</v>
      </c>
      <c r="F4" s="33">
        <v>45782.0</v>
      </c>
      <c r="G4" s="39"/>
    </row>
    <row r="5">
      <c r="A5" s="33">
        <v>45785.0</v>
      </c>
      <c r="B5" s="34" t="s">
        <v>21</v>
      </c>
      <c r="C5" s="35" t="s">
        <v>35</v>
      </c>
      <c r="D5" s="35" t="s">
        <v>86</v>
      </c>
      <c r="E5" s="36">
        <v>1.0</v>
      </c>
      <c r="F5" s="33">
        <v>45782.0</v>
      </c>
      <c r="G5" s="39"/>
    </row>
    <row r="6">
      <c r="A6" s="33">
        <v>45789.0</v>
      </c>
      <c r="B6" s="34" t="s">
        <v>21</v>
      </c>
      <c r="C6" s="35" t="s">
        <v>35</v>
      </c>
      <c r="D6" s="35" t="s">
        <v>87</v>
      </c>
      <c r="E6" s="36">
        <v>1.0</v>
      </c>
      <c r="F6" s="33">
        <v>45789.0</v>
      </c>
      <c r="G6" s="39"/>
    </row>
    <row r="7">
      <c r="A7" s="33">
        <v>45789.0</v>
      </c>
      <c r="B7" s="34" t="s">
        <v>88</v>
      </c>
      <c r="C7" s="35" t="s">
        <v>89</v>
      </c>
      <c r="D7" s="35" t="s">
        <v>90</v>
      </c>
      <c r="E7" s="36">
        <v>3.0</v>
      </c>
      <c r="F7" s="33">
        <v>45798.0</v>
      </c>
      <c r="G7" s="38" t="s">
        <v>91</v>
      </c>
    </row>
    <row r="8">
      <c r="A8" s="33">
        <v>45789.0</v>
      </c>
      <c r="B8" s="34" t="s">
        <v>88</v>
      </c>
      <c r="C8" s="35" t="s">
        <v>89</v>
      </c>
      <c r="D8" s="35" t="s">
        <v>92</v>
      </c>
      <c r="E8" s="36">
        <v>1.0</v>
      </c>
      <c r="F8" s="33">
        <v>45799.0</v>
      </c>
      <c r="G8" s="38" t="s">
        <v>93</v>
      </c>
    </row>
    <row r="9">
      <c r="A9" s="33">
        <v>45792.0</v>
      </c>
      <c r="B9" s="34" t="s">
        <v>21</v>
      </c>
      <c r="C9" s="35" t="s">
        <v>35</v>
      </c>
      <c r="D9" s="35" t="s">
        <v>94</v>
      </c>
      <c r="E9" s="36">
        <v>1.0</v>
      </c>
      <c r="F9" s="33">
        <v>45793.0</v>
      </c>
      <c r="G9" s="39"/>
    </row>
    <row r="10">
      <c r="A10" s="33">
        <v>45796.0</v>
      </c>
      <c r="B10" s="34" t="s">
        <v>21</v>
      </c>
      <c r="C10" s="35" t="s">
        <v>35</v>
      </c>
      <c r="D10" s="35" t="s">
        <v>95</v>
      </c>
      <c r="E10" s="36">
        <v>1.0</v>
      </c>
      <c r="F10" s="33">
        <v>45796.0</v>
      </c>
      <c r="G10" s="39"/>
    </row>
    <row r="11">
      <c r="A11" s="33">
        <v>45796.0</v>
      </c>
      <c r="B11" s="34" t="s">
        <v>21</v>
      </c>
      <c r="C11" s="35" t="s">
        <v>35</v>
      </c>
      <c r="D11" s="35" t="s">
        <v>96</v>
      </c>
      <c r="E11" s="36">
        <v>1.0</v>
      </c>
      <c r="F11" s="33">
        <v>45796.0</v>
      </c>
      <c r="G11" s="38"/>
    </row>
    <row r="12">
      <c r="A12" s="33">
        <v>45796.0</v>
      </c>
      <c r="B12" s="34" t="s">
        <v>21</v>
      </c>
      <c r="C12" s="35" t="s">
        <v>35</v>
      </c>
      <c r="D12" s="35" t="s">
        <v>97</v>
      </c>
      <c r="E12" s="36">
        <v>1.0</v>
      </c>
      <c r="F12" s="33">
        <v>45796.0</v>
      </c>
      <c r="G12" s="39"/>
    </row>
    <row r="13">
      <c r="A13" s="33">
        <v>45798.0</v>
      </c>
      <c r="B13" s="34" t="s">
        <v>21</v>
      </c>
      <c r="C13" s="35" t="s">
        <v>35</v>
      </c>
      <c r="D13" s="35" t="s">
        <v>98</v>
      </c>
      <c r="E13" s="36">
        <v>1.0</v>
      </c>
      <c r="F13" s="33">
        <v>45798.0</v>
      </c>
      <c r="G13" s="38"/>
    </row>
    <row r="14">
      <c r="A14" s="33">
        <v>45798.0</v>
      </c>
      <c r="B14" s="34" t="s">
        <v>21</v>
      </c>
      <c r="C14" s="35" t="s">
        <v>35</v>
      </c>
      <c r="D14" s="35" t="s">
        <v>99</v>
      </c>
      <c r="E14" s="36">
        <v>1.0</v>
      </c>
      <c r="F14" s="33">
        <v>45798.0</v>
      </c>
      <c r="G14" s="40"/>
    </row>
    <row r="15">
      <c r="A15" s="33">
        <v>45799.0</v>
      </c>
      <c r="B15" s="34" t="s">
        <v>21</v>
      </c>
      <c r="C15" s="35" t="s">
        <v>35</v>
      </c>
      <c r="D15" s="35" t="s">
        <v>100</v>
      </c>
      <c r="E15" s="36">
        <v>1.0</v>
      </c>
      <c r="F15" s="33">
        <v>45799.0</v>
      </c>
      <c r="G15" s="38"/>
    </row>
    <row r="16">
      <c r="A16" s="33">
        <v>45799.0</v>
      </c>
      <c r="B16" s="34" t="s">
        <v>21</v>
      </c>
      <c r="C16" s="35" t="s">
        <v>51</v>
      </c>
      <c r="D16" s="35" t="s">
        <v>101</v>
      </c>
      <c r="E16" s="36">
        <v>1.0</v>
      </c>
      <c r="F16" s="33">
        <v>45799.0</v>
      </c>
      <c r="G16" s="38"/>
    </row>
    <row r="17">
      <c r="A17" s="33">
        <v>45799.0</v>
      </c>
      <c r="B17" s="34" t="s">
        <v>21</v>
      </c>
      <c r="C17" s="35" t="s">
        <v>51</v>
      </c>
      <c r="D17" s="35" t="s">
        <v>102</v>
      </c>
      <c r="E17" s="36">
        <v>1.0</v>
      </c>
      <c r="F17" s="33">
        <v>45799.0</v>
      </c>
      <c r="G17" s="40"/>
    </row>
    <row r="18">
      <c r="A18" s="33">
        <v>45800.0</v>
      </c>
      <c r="B18" s="34" t="s">
        <v>21</v>
      </c>
      <c r="C18" s="35" t="s">
        <v>35</v>
      </c>
      <c r="D18" s="35" t="s">
        <v>103</v>
      </c>
      <c r="E18" s="36">
        <v>1.0</v>
      </c>
      <c r="F18" s="33">
        <v>45800.0</v>
      </c>
      <c r="G18" s="38"/>
    </row>
    <row r="19">
      <c r="A19" s="33">
        <v>45805.0</v>
      </c>
      <c r="B19" s="34" t="s">
        <v>21</v>
      </c>
      <c r="C19" s="35" t="s">
        <v>35</v>
      </c>
      <c r="D19" s="35" t="s">
        <v>104</v>
      </c>
      <c r="E19" s="36">
        <v>1.0</v>
      </c>
      <c r="F19" s="33">
        <v>45805.0</v>
      </c>
      <c r="G19" s="38"/>
    </row>
    <row r="20">
      <c r="A20" s="33">
        <v>45805.0</v>
      </c>
      <c r="B20" s="34" t="s">
        <v>21</v>
      </c>
      <c r="C20" s="35" t="s">
        <v>35</v>
      </c>
      <c r="D20" s="35" t="s">
        <v>105</v>
      </c>
      <c r="E20" s="36">
        <v>1.0</v>
      </c>
      <c r="F20" s="33">
        <v>45805.0</v>
      </c>
      <c r="G20" s="38"/>
    </row>
    <row r="21">
      <c r="A21" s="33">
        <v>45807.0</v>
      </c>
      <c r="B21" s="34" t="s">
        <v>21</v>
      </c>
      <c r="C21" s="35" t="s">
        <v>35</v>
      </c>
      <c r="D21" s="35" t="s">
        <v>106</v>
      </c>
      <c r="E21" s="36">
        <v>1.0</v>
      </c>
      <c r="F21" s="33">
        <v>45805.0</v>
      </c>
      <c r="G21" s="40"/>
    </row>
    <row r="22">
      <c r="A22" s="41"/>
      <c r="B22" s="42"/>
      <c r="C22" s="43"/>
      <c r="D22" s="43"/>
      <c r="E22" s="44"/>
      <c r="F22" s="41"/>
      <c r="G22" s="40"/>
    </row>
    <row r="23">
      <c r="A23" s="41"/>
      <c r="B23" s="42"/>
      <c r="C23" s="43"/>
      <c r="D23" s="43"/>
      <c r="E23" s="44"/>
      <c r="F23" s="41"/>
      <c r="G23" s="40"/>
    </row>
    <row r="24">
      <c r="A24" s="41"/>
      <c r="B24" s="42"/>
      <c r="C24" s="43"/>
      <c r="D24" s="43"/>
      <c r="E24" s="44"/>
      <c r="F24" s="41"/>
      <c r="G24" s="40"/>
    </row>
    <row r="25">
      <c r="A25" s="41"/>
      <c r="B25" s="42"/>
      <c r="C25" s="43"/>
      <c r="D25" s="43"/>
      <c r="E25" s="44"/>
      <c r="F25" s="41"/>
      <c r="G25" s="40"/>
    </row>
    <row r="26">
      <c r="A26" s="41"/>
      <c r="B26" s="42"/>
      <c r="C26" s="43"/>
      <c r="D26" s="43"/>
      <c r="E26" s="44"/>
      <c r="F26" s="41"/>
      <c r="G26" s="40"/>
    </row>
    <row r="27">
      <c r="A27" s="41"/>
      <c r="B27" s="42"/>
      <c r="C27" s="43"/>
      <c r="D27" s="43"/>
      <c r="E27" s="44"/>
      <c r="F27" s="41"/>
      <c r="G27" s="40"/>
    </row>
    <row r="28">
      <c r="A28" s="41"/>
      <c r="B28" s="42"/>
      <c r="C28" s="43"/>
      <c r="D28" s="43"/>
      <c r="E28" s="44"/>
      <c r="F28" s="41"/>
      <c r="G28" s="40"/>
    </row>
    <row r="29">
      <c r="A29" s="41"/>
      <c r="B29" s="42"/>
      <c r="C29" s="43"/>
      <c r="D29" s="43"/>
      <c r="E29" s="44"/>
      <c r="F29" s="41"/>
      <c r="G29" s="40"/>
    </row>
    <row r="30">
      <c r="A30" s="41"/>
      <c r="B30" s="42"/>
      <c r="C30" s="43"/>
      <c r="D30" s="43"/>
      <c r="E30" s="44"/>
      <c r="F30" s="41"/>
      <c r="G30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0.63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45809.0</v>
      </c>
      <c r="B2" s="34" t="s">
        <v>88</v>
      </c>
      <c r="C2" s="35" t="s">
        <v>89</v>
      </c>
      <c r="D2" s="35" t="s">
        <v>108</v>
      </c>
      <c r="E2" s="36">
        <v>1.0</v>
      </c>
      <c r="F2" s="33">
        <v>45828.0</v>
      </c>
      <c r="G2" s="39"/>
    </row>
    <row r="3">
      <c r="A3" s="33">
        <v>45809.0</v>
      </c>
      <c r="B3" s="34" t="s">
        <v>88</v>
      </c>
      <c r="C3" s="35" t="s">
        <v>89</v>
      </c>
      <c r="D3" s="35" t="s">
        <v>109</v>
      </c>
      <c r="E3" s="36">
        <v>1.0</v>
      </c>
      <c r="F3" s="33">
        <v>45828.0</v>
      </c>
      <c r="G3" s="38"/>
    </row>
    <row r="4">
      <c r="A4" s="33">
        <v>45811.0</v>
      </c>
      <c r="B4" s="34" t="s">
        <v>21</v>
      </c>
      <c r="C4" s="35" t="s">
        <v>35</v>
      </c>
      <c r="D4" s="35" t="s">
        <v>110</v>
      </c>
      <c r="E4" s="36">
        <v>1.0</v>
      </c>
      <c r="F4" s="33">
        <v>45811.0</v>
      </c>
      <c r="G4" s="38"/>
    </row>
    <row r="5">
      <c r="A5" s="33">
        <v>45811.0</v>
      </c>
      <c r="B5" s="34" t="s">
        <v>21</v>
      </c>
      <c r="C5" s="35" t="s">
        <v>35</v>
      </c>
      <c r="D5" s="35" t="s">
        <v>111</v>
      </c>
      <c r="E5" s="36">
        <v>1.0</v>
      </c>
      <c r="F5" s="33">
        <v>45811.0</v>
      </c>
      <c r="G5" s="39"/>
    </row>
    <row r="6">
      <c r="A6" s="33">
        <v>45811.0</v>
      </c>
      <c r="B6" s="34" t="s">
        <v>21</v>
      </c>
      <c r="C6" s="35" t="s">
        <v>35</v>
      </c>
      <c r="D6" s="35" t="s">
        <v>112</v>
      </c>
      <c r="E6" s="36">
        <v>1.0</v>
      </c>
      <c r="F6" s="33">
        <v>45811.0</v>
      </c>
      <c r="G6" s="39"/>
    </row>
    <row r="7">
      <c r="A7" s="33">
        <v>45813.0</v>
      </c>
      <c r="B7" s="34" t="s">
        <v>21</v>
      </c>
      <c r="C7" s="35" t="s">
        <v>35</v>
      </c>
      <c r="D7" s="35" t="s">
        <v>113</v>
      </c>
      <c r="E7" s="36">
        <v>1.0</v>
      </c>
      <c r="F7" s="33">
        <v>45813.0</v>
      </c>
      <c r="G7" s="39"/>
    </row>
    <row r="8">
      <c r="A8" s="33">
        <v>45814.0</v>
      </c>
      <c r="B8" s="34" t="s">
        <v>21</v>
      </c>
      <c r="C8" s="35" t="s">
        <v>35</v>
      </c>
      <c r="D8" s="35" t="s">
        <v>114</v>
      </c>
      <c r="E8" s="36">
        <v>1.0</v>
      </c>
      <c r="F8" s="33">
        <v>45814.0</v>
      </c>
      <c r="G8" s="39"/>
    </row>
    <row r="9">
      <c r="A9" s="33">
        <v>45817.0</v>
      </c>
      <c r="B9" s="34" t="s">
        <v>21</v>
      </c>
      <c r="C9" s="35" t="s">
        <v>35</v>
      </c>
      <c r="D9" s="35" t="s">
        <v>115</v>
      </c>
      <c r="E9" s="36">
        <v>1.0</v>
      </c>
      <c r="F9" s="33">
        <v>45818.0</v>
      </c>
      <c r="G9" s="38"/>
    </row>
    <row r="10">
      <c r="A10" s="33">
        <v>45817.0</v>
      </c>
      <c r="B10" s="34" t="s">
        <v>21</v>
      </c>
      <c r="C10" s="35" t="s">
        <v>35</v>
      </c>
      <c r="D10" s="35" t="s">
        <v>116</v>
      </c>
      <c r="E10" s="36">
        <v>1.0</v>
      </c>
      <c r="F10" s="33">
        <v>45818.0</v>
      </c>
      <c r="G10" s="39"/>
    </row>
    <row r="11">
      <c r="A11" s="33">
        <v>45820.0</v>
      </c>
      <c r="B11" s="34" t="s">
        <v>21</v>
      </c>
      <c r="C11" s="35" t="s">
        <v>35</v>
      </c>
      <c r="D11" s="35" t="s">
        <v>117</v>
      </c>
      <c r="E11" s="36">
        <v>1.0</v>
      </c>
      <c r="F11" s="33">
        <v>45820.0</v>
      </c>
      <c r="G11" s="39"/>
    </row>
    <row r="12">
      <c r="A12" s="33">
        <v>45826.0</v>
      </c>
      <c r="B12" s="34" t="s">
        <v>21</v>
      </c>
      <c r="C12" s="35" t="s">
        <v>35</v>
      </c>
      <c r="D12" s="35" t="s">
        <v>118</v>
      </c>
      <c r="E12" s="36">
        <v>1.0</v>
      </c>
      <c r="F12" s="33">
        <v>45826.0</v>
      </c>
      <c r="G12" s="38"/>
    </row>
    <row r="13">
      <c r="A13" s="33">
        <v>45838.0</v>
      </c>
      <c r="B13" s="34" t="s">
        <v>21</v>
      </c>
      <c r="C13" s="35" t="s">
        <v>35</v>
      </c>
      <c r="D13" s="35" t="s">
        <v>119</v>
      </c>
      <c r="E13" s="36">
        <v>1.0</v>
      </c>
      <c r="F13" s="33">
        <v>45838.0</v>
      </c>
      <c r="G13" s="40"/>
    </row>
    <row r="14">
      <c r="A14" s="33">
        <v>45838.0</v>
      </c>
      <c r="B14" s="34" t="s">
        <v>21</v>
      </c>
      <c r="C14" s="35" t="s">
        <v>35</v>
      </c>
      <c r="D14" s="35" t="s">
        <v>120</v>
      </c>
      <c r="E14" s="36">
        <v>1.0</v>
      </c>
      <c r="F14" s="33">
        <v>45838.0</v>
      </c>
      <c r="G14" s="38"/>
    </row>
    <row r="15">
      <c r="A15" s="33">
        <v>45838.0</v>
      </c>
      <c r="B15" s="34" t="s">
        <v>21</v>
      </c>
      <c r="C15" s="35" t="s">
        <v>35</v>
      </c>
      <c r="D15" s="35" t="s">
        <v>121</v>
      </c>
      <c r="E15" s="36">
        <v>1.0</v>
      </c>
      <c r="F15" s="33">
        <v>45838.0</v>
      </c>
      <c r="G15" s="38"/>
    </row>
    <row r="16">
      <c r="A16" s="33">
        <v>45838.0</v>
      </c>
      <c r="B16" s="34" t="s">
        <v>21</v>
      </c>
      <c r="C16" s="35" t="s">
        <v>35</v>
      </c>
      <c r="D16" s="35" t="s">
        <v>122</v>
      </c>
      <c r="E16" s="36">
        <v>1.0</v>
      </c>
      <c r="F16" s="33">
        <v>45838.0</v>
      </c>
      <c r="G16" s="40"/>
    </row>
    <row r="17">
      <c r="A17" s="33"/>
      <c r="B17" s="34"/>
      <c r="C17" s="35"/>
      <c r="D17" s="35"/>
      <c r="E17" s="36"/>
      <c r="F17" s="33"/>
      <c r="G17" s="38"/>
    </row>
    <row r="18">
      <c r="A18" s="33"/>
      <c r="B18" s="34"/>
      <c r="C18" s="35"/>
      <c r="D18" s="35"/>
      <c r="E18" s="36"/>
      <c r="F18" s="33"/>
      <c r="G18" s="38"/>
    </row>
    <row r="19">
      <c r="A19" s="33"/>
      <c r="B19" s="34"/>
      <c r="C19" s="35"/>
      <c r="D19" s="35"/>
      <c r="E19" s="36"/>
      <c r="F19" s="33"/>
      <c r="G19" s="38"/>
    </row>
    <row r="20">
      <c r="A20" s="33"/>
      <c r="B20" s="34"/>
      <c r="C20" s="35"/>
      <c r="D20" s="35"/>
      <c r="E20" s="36"/>
      <c r="F20" s="33"/>
      <c r="G20" s="40"/>
    </row>
    <row r="21">
      <c r="A21" s="41"/>
      <c r="B21" s="42"/>
      <c r="C21" s="43"/>
      <c r="D21" s="43"/>
      <c r="E21" s="44"/>
      <c r="F21" s="41"/>
      <c r="G21" s="40"/>
    </row>
    <row r="22">
      <c r="A22" s="41"/>
      <c r="B22" s="42"/>
      <c r="C22" s="43"/>
      <c r="D22" s="43"/>
      <c r="E22" s="44"/>
      <c r="F22" s="41"/>
      <c r="G22" s="40"/>
    </row>
    <row r="23">
      <c r="A23" s="41"/>
      <c r="B23" s="42"/>
      <c r="C23" s="43"/>
      <c r="D23" s="43"/>
      <c r="E23" s="44"/>
      <c r="F23" s="41"/>
      <c r="G23" s="40"/>
    </row>
    <row r="24">
      <c r="A24" s="41"/>
      <c r="B24" s="42"/>
      <c r="C24" s="43"/>
      <c r="D24" s="43"/>
      <c r="E24" s="44"/>
      <c r="F24" s="41"/>
      <c r="G24" s="40"/>
    </row>
    <row r="25">
      <c r="A25" s="41"/>
      <c r="B25" s="42"/>
      <c r="C25" s="43"/>
      <c r="D25" s="43"/>
      <c r="E25" s="44"/>
      <c r="F25" s="41"/>
      <c r="G25" s="40"/>
    </row>
    <row r="26">
      <c r="A26" s="41"/>
      <c r="B26" s="42"/>
      <c r="C26" s="43"/>
      <c r="D26" s="43"/>
      <c r="E26" s="44"/>
      <c r="F26" s="41"/>
      <c r="G26" s="40"/>
    </row>
    <row r="27">
      <c r="A27" s="41"/>
      <c r="B27" s="42"/>
      <c r="C27" s="43"/>
      <c r="D27" s="43"/>
      <c r="E27" s="44"/>
      <c r="F27" s="41"/>
      <c r="G27" s="40"/>
    </row>
    <row r="28">
      <c r="A28" s="41"/>
      <c r="B28" s="42"/>
      <c r="C28" s="43"/>
      <c r="D28" s="43"/>
      <c r="E28" s="44"/>
      <c r="F28" s="41"/>
      <c r="G28" s="40"/>
    </row>
    <row r="29">
      <c r="A29" s="41"/>
      <c r="B29" s="42"/>
      <c r="C29" s="43"/>
      <c r="D29" s="43"/>
      <c r="E29" s="44"/>
      <c r="F29" s="41"/>
      <c r="G29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0.63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45840.0</v>
      </c>
      <c r="B2" s="34" t="s">
        <v>21</v>
      </c>
      <c r="C2" s="35" t="s">
        <v>35</v>
      </c>
      <c r="D2" s="35" t="s">
        <v>123</v>
      </c>
      <c r="E2" s="36">
        <v>1.0</v>
      </c>
      <c r="F2" s="33">
        <v>45840.0</v>
      </c>
      <c r="G2" s="39"/>
    </row>
    <row r="3">
      <c r="A3" s="33">
        <v>45841.0</v>
      </c>
      <c r="B3" s="34" t="s">
        <v>21</v>
      </c>
      <c r="C3" s="35" t="s">
        <v>35</v>
      </c>
      <c r="D3" s="35" t="s">
        <v>124</v>
      </c>
      <c r="E3" s="36">
        <v>1.0</v>
      </c>
      <c r="F3" s="33">
        <v>45841.0</v>
      </c>
      <c r="G3" s="38"/>
    </row>
    <row r="4">
      <c r="A4" s="33">
        <v>45849.0</v>
      </c>
      <c r="B4" s="34" t="s">
        <v>21</v>
      </c>
      <c r="C4" s="35" t="s">
        <v>35</v>
      </c>
      <c r="D4" s="35" t="s">
        <v>125</v>
      </c>
      <c r="E4" s="36">
        <v>1.0</v>
      </c>
      <c r="F4" s="33">
        <v>45849.0</v>
      </c>
      <c r="G4" s="38"/>
    </row>
    <row r="5">
      <c r="A5" s="33">
        <v>45849.0</v>
      </c>
      <c r="B5" s="34" t="s">
        <v>21</v>
      </c>
      <c r="C5" s="35" t="s">
        <v>35</v>
      </c>
      <c r="D5" s="35" t="s">
        <v>126</v>
      </c>
      <c r="E5" s="36">
        <v>1.0</v>
      </c>
      <c r="F5" s="33">
        <v>45849.0</v>
      </c>
      <c r="G5" s="39"/>
    </row>
    <row r="6">
      <c r="A6" s="33">
        <v>45853.0</v>
      </c>
      <c r="B6" s="34" t="s">
        <v>21</v>
      </c>
      <c r="C6" s="35" t="s">
        <v>35</v>
      </c>
      <c r="D6" s="35" t="s">
        <v>127</v>
      </c>
      <c r="E6" s="36">
        <v>1.0</v>
      </c>
      <c r="F6" s="33">
        <v>45853.0</v>
      </c>
      <c r="G6" s="39"/>
    </row>
    <row r="7">
      <c r="A7" s="33">
        <v>45853.0</v>
      </c>
      <c r="B7" s="34" t="s">
        <v>21</v>
      </c>
      <c r="C7" s="35" t="s">
        <v>35</v>
      </c>
      <c r="D7" s="35" t="s">
        <v>128</v>
      </c>
      <c r="E7" s="36">
        <v>1.0</v>
      </c>
      <c r="F7" s="33">
        <v>45853.0</v>
      </c>
      <c r="G7" s="39"/>
    </row>
    <row r="8">
      <c r="A8" s="33">
        <v>45854.0</v>
      </c>
      <c r="B8" s="34" t="s">
        <v>21</v>
      </c>
      <c r="C8" s="35" t="s">
        <v>35</v>
      </c>
      <c r="D8" s="35" t="s">
        <v>129</v>
      </c>
      <c r="E8" s="36">
        <v>1.0</v>
      </c>
      <c r="F8" s="33">
        <v>45854.0</v>
      </c>
      <c r="G8" s="39"/>
    </row>
    <row r="9">
      <c r="A9" s="33">
        <v>45854.0</v>
      </c>
      <c r="B9" s="34" t="s">
        <v>21</v>
      </c>
      <c r="C9" s="35" t="s">
        <v>35</v>
      </c>
      <c r="D9" s="35" t="s">
        <v>130</v>
      </c>
      <c r="E9" s="36">
        <v>1.0</v>
      </c>
      <c r="F9" s="33">
        <v>45854.0</v>
      </c>
      <c r="G9" s="38"/>
    </row>
    <row r="10">
      <c r="A10" s="33">
        <v>45855.0</v>
      </c>
      <c r="B10" s="34" t="s">
        <v>21</v>
      </c>
      <c r="C10" s="35" t="s">
        <v>35</v>
      </c>
      <c r="D10" s="35" t="s">
        <v>131</v>
      </c>
      <c r="E10" s="36">
        <v>1.0</v>
      </c>
      <c r="F10" s="33">
        <v>45855.0</v>
      </c>
      <c r="G10" s="39"/>
    </row>
    <row r="11">
      <c r="A11" s="33">
        <v>45859.0</v>
      </c>
      <c r="B11" s="34" t="s">
        <v>21</v>
      </c>
      <c r="C11" s="35" t="s">
        <v>35</v>
      </c>
      <c r="D11" s="35" t="s">
        <v>132</v>
      </c>
      <c r="E11" s="36">
        <v>1.0</v>
      </c>
      <c r="F11" s="33">
        <v>45859.0</v>
      </c>
      <c r="G11" s="39"/>
    </row>
    <row r="12">
      <c r="A12" s="33">
        <v>45859.0</v>
      </c>
      <c r="B12" s="34" t="s">
        <v>21</v>
      </c>
      <c r="C12" s="35" t="s">
        <v>51</v>
      </c>
      <c r="D12" s="35" t="s">
        <v>133</v>
      </c>
      <c r="E12" s="36">
        <v>1.0</v>
      </c>
      <c r="F12" s="33">
        <v>45859.0</v>
      </c>
      <c r="G12" s="38"/>
    </row>
    <row r="13">
      <c r="A13" s="33">
        <v>45859.0</v>
      </c>
      <c r="B13" s="34" t="s">
        <v>21</v>
      </c>
      <c r="C13" s="35" t="s">
        <v>51</v>
      </c>
      <c r="D13" s="35" t="s">
        <v>134</v>
      </c>
      <c r="E13" s="36">
        <v>1.0</v>
      </c>
      <c r="F13" s="33">
        <v>45859.0</v>
      </c>
      <c r="G13" s="40"/>
    </row>
    <row r="14">
      <c r="A14" s="33">
        <v>45859.0</v>
      </c>
      <c r="B14" s="34" t="s">
        <v>21</v>
      </c>
      <c r="C14" s="35" t="s">
        <v>51</v>
      </c>
      <c r="D14" s="35" t="s">
        <v>135</v>
      </c>
      <c r="E14" s="36">
        <v>1.0</v>
      </c>
      <c r="F14" s="33">
        <v>45859.0</v>
      </c>
      <c r="G14" s="38"/>
    </row>
    <row r="15">
      <c r="A15" s="33">
        <v>45859.0</v>
      </c>
      <c r="B15" s="34" t="s">
        <v>21</v>
      </c>
      <c r="C15" s="35" t="s">
        <v>51</v>
      </c>
      <c r="D15" s="35" t="s">
        <v>136</v>
      </c>
      <c r="E15" s="36">
        <v>1.0</v>
      </c>
      <c r="F15" s="33">
        <v>45859.0</v>
      </c>
      <c r="G15" s="38"/>
    </row>
    <row r="16">
      <c r="A16" s="33">
        <v>45861.0</v>
      </c>
      <c r="B16" s="34" t="s">
        <v>21</v>
      </c>
      <c r="C16" s="35" t="s">
        <v>35</v>
      </c>
      <c r="D16" s="35" t="s">
        <v>137</v>
      </c>
      <c r="E16" s="36">
        <v>1.0</v>
      </c>
      <c r="F16" s="33">
        <v>45861.0</v>
      </c>
      <c r="G16" s="39"/>
    </row>
    <row r="17">
      <c r="A17" s="33">
        <v>45861.0</v>
      </c>
      <c r="B17" s="34" t="s">
        <v>21</v>
      </c>
      <c r="C17" s="35" t="s">
        <v>35</v>
      </c>
      <c r="D17" s="35" t="s">
        <v>138</v>
      </c>
      <c r="E17" s="36">
        <v>1.0</v>
      </c>
      <c r="F17" s="33">
        <v>45861.0</v>
      </c>
      <c r="G17" s="38"/>
    </row>
    <row r="18">
      <c r="A18" s="33">
        <v>45867.0</v>
      </c>
      <c r="B18" s="34" t="s">
        <v>21</v>
      </c>
      <c r="C18" s="35" t="s">
        <v>35</v>
      </c>
      <c r="D18" s="35" t="s">
        <v>139</v>
      </c>
      <c r="E18" s="36">
        <v>1.0</v>
      </c>
      <c r="F18" s="33">
        <v>45867.0</v>
      </c>
      <c r="G18" s="38"/>
    </row>
    <row r="19">
      <c r="A19" s="33">
        <v>45867.0</v>
      </c>
      <c r="B19" s="34" t="s">
        <v>21</v>
      </c>
      <c r="C19" s="35" t="s">
        <v>35</v>
      </c>
      <c r="D19" s="35" t="s">
        <v>140</v>
      </c>
      <c r="E19" s="36">
        <v>1.0</v>
      </c>
      <c r="F19" s="33">
        <v>45867.0</v>
      </c>
      <c r="G19" s="38"/>
    </row>
    <row r="20">
      <c r="A20" s="33"/>
      <c r="B20" s="34"/>
      <c r="C20" s="35"/>
      <c r="D20" s="35"/>
      <c r="E20" s="36"/>
      <c r="F20" s="33"/>
      <c r="G20" s="40"/>
    </row>
    <row r="21">
      <c r="A21" s="41"/>
      <c r="B21" s="42"/>
      <c r="C21" s="43"/>
      <c r="D21" s="43"/>
      <c r="E21" s="44"/>
      <c r="F21" s="41"/>
      <c r="G21" s="40"/>
    </row>
    <row r="22">
      <c r="A22" s="41"/>
      <c r="B22" s="42"/>
      <c r="C22" s="43"/>
      <c r="D22" s="43"/>
      <c r="E22" s="44"/>
      <c r="F22" s="41"/>
      <c r="G22" s="40"/>
    </row>
    <row r="23">
      <c r="A23" s="41"/>
      <c r="B23" s="42"/>
      <c r="C23" s="43"/>
      <c r="D23" s="43"/>
      <c r="E23" s="44"/>
      <c r="F23" s="41"/>
      <c r="G23" s="40"/>
    </row>
    <row r="24">
      <c r="A24" s="41"/>
      <c r="B24" s="42"/>
      <c r="C24" s="43"/>
      <c r="D24" s="43"/>
      <c r="E24" s="44"/>
      <c r="F24" s="41"/>
      <c r="G24" s="40"/>
    </row>
    <row r="25">
      <c r="A25" s="41"/>
      <c r="B25" s="42"/>
      <c r="C25" s="43"/>
      <c r="D25" s="43"/>
      <c r="E25" s="44"/>
      <c r="F25" s="41"/>
      <c r="G25" s="40"/>
    </row>
    <row r="26">
      <c r="A26" s="41"/>
      <c r="B26" s="42"/>
      <c r="C26" s="43"/>
      <c r="D26" s="43"/>
      <c r="E26" s="44"/>
      <c r="F26" s="41"/>
      <c r="G26" s="40"/>
    </row>
    <row r="27">
      <c r="A27" s="41"/>
      <c r="B27" s="42"/>
      <c r="C27" s="43"/>
      <c r="D27" s="43"/>
      <c r="E27" s="44"/>
      <c r="F27" s="41"/>
      <c r="G27" s="40"/>
    </row>
    <row r="28">
      <c r="A28" s="41"/>
      <c r="B28" s="42"/>
      <c r="C28" s="43"/>
      <c r="D28" s="43"/>
      <c r="E28" s="44"/>
      <c r="F28" s="41"/>
      <c r="G28" s="40"/>
    </row>
    <row r="29">
      <c r="A29" s="41"/>
      <c r="B29" s="42"/>
      <c r="C29" s="43"/>
      <c r="D29" s="43"/>
      <c r="E29" s="44"/>
      <c r="F29" s="41"/>
      <c r="G29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54.25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45870.0</v>
      </c>
      <c r="B2" s="34" t="s">
        <v>21</v>
      </c>
      <c r="C2" s="35" t="s">
        <v>35</v>
      </c>
      <c r="D2" s="35" t="s">
        <v>141</v>
      </c>
      <c r="E2" s="36">
        <v>1.0</v>
      </c>
      <c r="F2" s="33">
        <v>45870.0</v>
      </c>
      <c r="G2" s="39"/>
    </row>
    <row r="3">
      <c r="A3" s="33">
        <v>45873.0</v>
      </c>
      <c r="B3" s="34" t="s">
        <v>21</v>
      </c>
      <c r="C3" s="35" t="s">
        <v>35</v>
      </c>
      <c r="D3" s="35" t="s">
        <v>142</v>
      </c>
      <c r="E3" s="36">
        <v>1.0</v>
      </c>
      <c r="F3" s="33">
        <v>45873.0</v>
      </c>
      <c r="G3" s="38"/>
    </row>
    <row r="4">
      <c r="A4" s="33">
        <v>45874.0</v>
      </c>
      <c r="B4" s="34" t="s">
        <v>21</v>
      </c>
      <c r="C4" s="35" t="s">
        <v>35</v>
      </c>
      <c r="D4" s="35" t="s">
        <v>143</v>
      </c>
      <c r="E4" s="36">
        <v>1.0</v>
      </c>
      <c r="F4" s="33">
        <v>45874.0</v>
      </c>
      <c r="G4" s="38"/>
    </row>
    <row r="5">
      <c r="A5" s="33">
        <v>45875.0</v>
      </c>
      <c r="B5" s="34" t="s">
        <v>21</v>
      </c>
      <c r="C5" s="35" t="s">
        <v>35</v>
      </c>
      <c r="D5" s="35" t="s">
        <v>144</v>
      </c>
      <c r="E5" s="36">
        <v>1.0</v>
      </c>
      <c r="F5" s="33">
        <v>45875.0</v>
      </c>
      <c r="G5" s="39"/>
    </row>
    <row r="6">
      <c r="A6" s="33">
        <v>45875.0</v>
      </c>
      <c r="B6" s="34" t="s">
        <v>21</v>
      </c>
      <c r="C6" s="35" t="s">
        <v>51</v>
      </c>
      <c r="D6" s="35" t="s">
        <v>145</v>
      </c>
      <c r="E6" s="36">
        <v>1.0</v>
      </c>
      <c r="F6" s="33">
        <v>45875.0</v>
      </c>
      <c r="G6" s="39"/>
    </row>
    <row r="7">
      <c r="A7" s="33">
        <v>45875.0</v>
      </c>
      <c r="B7" s="34" t="s">
        <v>21</v>
      </c>
      <c r="C7" s="35" t="s">
        <v>51</v>
      </c>
      <c r="D7" s="35" t="s">
        <v>146</v>
      </c>
      <c r="E7" s="36">
        <v>1.0</v>
      </c>
      <c r="F7" s="33">
        <v>45875.0</v>
      </c>
      <c r="G7" s="39"/>
    </row>
    <row r="8">
      <c r="A8" s="33">
        <v>45876.0</v>
      </c>
      <c r="B8" s="34" t="s">
        <v>21</v>
      </c>
      <c r="C8" s="35" t="s">
        <v>35</v>
      </c>
      <c r="D8" s="35" t="s">
        <v>147</v>
      </c>
      <c r="E8" s="36">
        <v>1.0</v>
      </c>
      <c r="F8" s="33">
        <v>45876.0</v>
      </c>
      <c r="G8" s="39"/>
    </row>
    <row r="9">
      <c r="A9" s="33">
        <v>45880.0</v>
      </c>
      <c r="B9" s="34" t="s">
        <v>21</v>
      </c>
      <c r="C9" s="35" t="s">
        <v>51</v>
      </c>
      <c r="D9" s="35" t="s">
        <v>148</v>
      </c>
      <c r="E9" s="36">
        <v>1.0</v>
      </c>
      <c r="F9" s="33">
        <v>45880.0</v>
      </c>
      <c r="G9" s="38"/>
    </row>
    <row r="10">
      <c r="A10" s="33">
        <v>45880.0</v>
      </c>
      <c r="B10" s="34" t="s">
        <v>21</v>
      </c>
      <c r="C10" s="35" t="s">
        <v>35</v>
      </c>
      <c r="D10" s="35" t="s">
        <v>149</v>
      </c>
      <c r="E10" s="36">
        <v>1.0</v>
      </c>
      <c r="F10" s="33">
        <v>45880.0</v>
      </c>
      <c r="G10" s="39"/>
    </row>
    <row r="11">
      <c r="A11" s="33">
        <v>45882.0</v>
      </c>
      <c r="B11" s="34" t="s">
        <v>21</v>
      </c>
      <c r="C11" s="35" t="s">
        <v>35</v>
      </c>
      <c r="D11" s="35" t="s">
        <v>150</v>
      </c>
      <c r="E11" s="36">
        <v>1.0</v>
      </c>
      <c r="F11" s="33">
        <v>45882.0</v>
      </c>
      <c r="G11" s="39"/>
    </row>
    <row r="12">
      <c r="A12" s="33">
        <v>45884.0</v>
      </c>
      <c r="B12" s="34" t="s">
        <v>21</v>
      </c>
      <c r="C12" s="35" t="s">
        <v>35</v>
      </c>
      <c r="D12" s="35" t="s">
        <v>151</v>
      </c>
      <c r="E12" s="36">
        <v>1.0</v>
      </c>
      <c r="F12" s="33">
        <v>45884.0</v>
      </c>
      <c r="G12" s="38"/>
    </row>
    <row r="13">
      <c r="A13" s="33">
        <v>45887.0</v>
      </c>
      <c r="B13" s="34" t="s">
        <v>21</v>
      </c>
      <c r="C13" s="35" t="s">
        <v>35</v>
      </c>
      <c r="D13" s="35" t="s">
        <v>152</v>
      </c>
      <c r="E13" s="36">
        <v>1.0</v>
      </c>
      <c r="F13" s="33">
        <v>45887.0</v>
      </c>
      <c r="G13" s="40"/>
    </row>
    <row r="14">
      <c r="A14" s="33">
        <v>45888.0</v>
      </c>
      <c r="B14" s="34" t="s">
        <v>153</v>
      </c>
      <c r="C14" s="35" t="s">
        <v>154</v>
      </c>
      <c r="D14" s="35" t="s">
        <v>155</v>
      </c>
      <c r="E14" s="36">
        <v>1.0</v>
      </c>
      <c r="F14" s="33">
        <v>45889.0</v>
      </c>
      <c r="G14" s="38"/>
    </row>
    <row r="15">
      <c r="A15" s="33">
        <v>45889.0</v>
      </c>
      <c r="B15" s="34" t="s">
        <v>88</v>
      </c>
      <c r="C15" s="35" t="s">
        <v>154</v>
      </c>
      <c r="D15" s="35" t="s">
        <v>156</v>
      </c>
      <c r="E15" s="36">
        <v>4.0</v>
      </c>
      <c r="F15" s="33">
        <v>45889.0</v>
      </c>
      <c r="G15" s="38"/>
    </row>
    <row r="16">
      <c r="A16" s="33">
        <v>45890.0</v>
      </c>
      <c r="B16" s="34" t="s">
        <v>21</v>
      </c>
      <c r="C16" s="35" t="s">
        <v>35</v>
      </c>
      <c r="D16" s="35" t="s">
        <v>157</v>
      </c>
      <c r="E16" s="36">
        <v>1.0</v>
      </c>
      <c r="F16" s="33">
        <v>45890.0</v>
      </c>
      <c r="G16" s="39"/>
    </row>
    <row r="17">
      <c r="A17" s="33">
        <v>45890.0</v>
      </c>
      <c r="B17" s="34" t="s">
        <v>21</v>
      </c>
      <c r="C17" s="35" t="s">
        <v>35</v>
      </c>
      <c r="D17" s="35" t="s">
        <v>158</v>
      </c>
      <c r="E17" s="36">
        <v>1.0</v>
      </c>
      <c r="F17" s="33">
        <v>45890.0</v>
      </c>
      <c r="G17" s="38"/>
    </row>
    <row r="18">
      <c r="A18" s="33">
        <v>45890.0</v>
      </c>
      <c r="B18" s="34" t="s">
        <v>21</v>
      </c>
      <c r="C18" s="35" t="s">
        <v>35</v>
      </c>
      <c r="D18" s="35" t="s">
        <v>159</v>
      </c>
      <c r="E18" s="36">
        <v>1.0</v>
      </c>
      <c r="F18" s="33">
        <v>45890.0</v>
      </c>
      <c r="G18" s="38"/>
    </row>
    <row r="19">
      <c r="A19" s="33">
        <v>45890.0</v>
      </c>
      <c r="B19" s="34" t="s">
        <v>21</v>
      </c>
      <c r="C19" s="35" t="s">
        <v>35</v>
      </c>
      <c r="D19" s="35" t="s">
        <v>160</v>
      </c>
      <c r="E19" s="36">
        <v>1.0</v>
      </c>
      <c r="F19" s="33">
        <v>45890.0</v>
      </c>
      <c r="G19" s="38"/>
    </row>
    <row r="20">
      <c r="A20" s="33">
        <v>45890.0</v>
      </c>
      <c r="B20" s="34" t="s">
        <v>21</v>
      </c>
      <c r="C20" s="35" t="s">
        <v>35</v>
      </c>
      <c r="D20" s="35" t="s">
        <v>161</v>
      </c>
      <c r="E20" s="36">
        <v>1.0</v>
      </c>
      <c r="F20" s="33">
        <v>45890.0</v>
      </c>
      <c r="G20" s="40"/>
    </row>
    <row r="21">
      <c r="A21" s="33">
        <v>45895.0</v>
      </c>
      <c r="B21" s="46" t="s">
        <v>21</v>
      </c>
      <c r="C21" s="34" t="s">
        <v>162</v>
      </c>
      <c r="D21" s="35" t="s">
        <v>163</v>
      </c>
      <c r="E21" s="36">
        <v>1.0</v>
      </c>
      <c r="F21" s="33">
        <v>45895.0</v>
      </c>
      <c r="G21" s="40"/>
    </row>
    <row r="22">
      <c r="A22" s="33">
        <v>45895.0</v>
      </c>
      <c r="B22" s="46" t="s">
        <v>21</v>
      </c>
      <c r="C22" s="34" t="s">
        <v>162</v>
      </c>
      <c r="D22" s="35" t="s">
        <v>164</v>
      </c>
      <c r="E22" s="36">
        <v>1.0</v>
      </c>
      <c r="F22" s="33">
        <v>45895.0</v>
      </c>
      <c r="G22" s="40"/>
    </row>
    <row r="23">
      <c r="A23" s="33">
        <v>45896.0</v>
      </c>
      <c r="B23" s="34" t="s">
        <v>153</v>
      </c>
      <c r="C23" s="35" t="s">
        <v>154</v>
      </c>
      <c r="D23" s="35" t="s">
        <v>165</v>
      </c>
      <c r="E23" s="36">
        <v>1.0</v>
      </c>
      <c r="F23" s="33">
        <v>45896.0</v>
      </c>
      <c r="G23" s="40"/>
    </row>
    <row r="24">
      <c r="A24" s="33">
        <v>45896.0</v>
      </c>
      <c r="B24" s="34" t="s">
        <v>21</v>
      </c>
      <c r="C24" s="35" t="s">
        <v>154</v>
      </c>
      <c r="D24" s="35" t="s">
        <v>166</v>
      </c>
      <c r="E24" s="36">
        <v>1.0</v>
      </c>
      <c r="F24" s="33">
        <v>45896.0</v>
      </c>
      <c r="G24" s="40"/>
    </row>
    <row r="25">
      <c r="A25" s="33">
        <v>45896.0</v>
      </c>
      <c r="B25" s="34" t="s">
        <v>21</v>
      </c>
      <c r="C25" s="35" t="s">
        <v>35</v>
      </c>
      <c r="D25" s="35" t="s">
        <v>167</v>
      </c>
      <c r="E25" s="36">
        <v>1.0</v>
      </c>
      <c r="F25" s="33">
        <v>45896.0</v>
      </c>
      <c r="G25" s="40"/>
    </row>
    <row r="26">
      <c r="A26" s="33">
        <v>45898.0</v>
      </c>
      <c r="B26" s="34" t="s">
        <v>21</v>
      </c>
      <c r="C26" s="35" t="s">
        <v>162</v>
      </c>
      <c r="D26" s="35" t="s">
        <v>168</v>
      </c>
      <c r="E26" s="36">
        <v>1.0</v>
      </c>
      <c r="F26" s="33">
        <v>45898.0</v>
      </c>
      <c r="G26" s="40"/>
    </row>
    <row r="27">
      <c r="A27" s="41"/>
      <c r="B27" s="42"/>
      <c r="C27" s="43"/>
      <c r="D27" s="43"/>
      <c r="E27" s="44"/>
      <c r="F27" s="41"/>
      <c r="G27" s="40"/>
    </row>
    <row r="28">
      <c r="A28" s="41"/>
      <c r="B28" s="42"/>
      <c r="C28" s="43"/>
      <c r="D28" s="43"/>
      <c r="E28" s="44"/>
      <c r="F28" s="41"/>
      <c r="G28" s="40"/>
    </row>
    <row r="29">
      <c r="A29" s="41"/>
      <c r="B29" s="42"/>
      <c r="C29" s="43"/>
      <c r="D29" s="43"/>
      <c r="E29" s="44"/>
      <c r="F29" s="41"/>
      <c r="G29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67.5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45903.0</v>
      </c>
      <c r="B2" s="34" t="s">
        <v>21</v>
      </c>
      <c r="C2" s="35" t="s">
        <v>35</v>
      </c>
      <c r="D2" s="35" t="s">
        <v>169</v>
      </c>
      <c r="E2" s="36">
        <v>1.0</v>
      </c>
      <c r="F2" s="33">
        <v>45903.0</v>
      </c>
      <c r="G2" s="39"/>
    </row>
    <row r="3">
      <c r="A3" s="33">
        <v>45904.0</v>
      </c>
      <c r="B3" s="34" t="s">
        <v>153</v>
      </c>
      <c r="C3" s="35" t="s">
        <v>154</v>
      </c>
      <c r="D3" s="35" t="s">
        <v>170</v>
      </c>
      <c r="E3" s="36">
        <v>1.0</v>
      </c>
      <c r="F3" s="33">
        <v>45904.0</v>
      </c>
      <c r="G3" s="38"/>
    </row>
    <row r="4">
      <c r="A4" s="33">
        <v>45905.0</v>
      </c>
      <c r="B4" s="34" t="s">
        <v>21</v>
      </c>
      <c r="C4" s="35" t="s">
        <v>35</v>
      </c>
      <c r="D4" s="35" t="s">
        <v>171</v>
      </c>
      <c r="E4" s="36">
        <v>1.0</v>
      </c>
      <c r="F4" s="33">
        <v>45905.0</v>
      </c>
      <c r="G4" s="38"/>
    </row>
    <row r="5">
      <c r="A5" s="33">
        <v>45905.0</v>
      </c>
      <c r="B5" s="34" t="s">
        <v>21</v>
      </c>
      <c r="C5" s="35" t="s">
        <v>35</v>
      </c>
      <c r="D5" s="35" t="s">
        <v>172</v>
      </c>
      <c r="E5" s="36">
        <v>1.0</v>
      </c>
      <c r="F5" s="33">
        <v>45905.0</v>
      </c>
      <c r="G5" s="39"/>
    </row>
    <row r="6">
      <c r="A6" s="33">
        <v>45905.0</v>
      </c>
      <c r="B6" s="34" t="s">
        <v>21</v>
      </c>
      <c r="C6" s="35" t="s">
        <v>35</v>
      </c>
      <c r="D6" s="35" t="s">
        <v>173</v>
      </c>
      <c r="E6" s="36">
        <v>1.0</v>
      </c>
      <c r="F6" s="33">
        <v>45905.0</v>
      </c>
      <c r="G6" s="39"/>
    </row>
    <row r="7">
      <c r="A7" s="33">
        <v>45905.0</v>
      </c>
      <c r="B7" s="34" t="s">
        <v>21</v>
      </c>
      <c r="C7" s="35" t="s">
        <v>35</v>
      </c>
      <c r="D7" s="35" t="s">
        <v>174</v>
      </c>
      <c r="E7" s="36">
        <v>1.0</v>
      </c>
      <c r="F7" s="33">
        <v>45905.0</v>
      </c>
      <c r="G7" s="39"/>
    </row>
    <row r="8">
      <c r="A8" s="33">
        <v>45908.0</v>
      </c>
      <c r="B8" s="34" t="s">
        <v>21</v>
      </c>
      <c r="C8" s="35" t="s">
        <v>35</v>
      </c>
      <c r="D8" s="35" t="s">
        <v>175</v>
      </c>
      <c r="E8" s="36">
        <v>1.0</v>
      </c>
      <c r="F8" s="33">
        <v>45908.0</v>
      </c>
      <c r="G8" s="39"/>
    </row>
    <row r="9">
      <c r="A9" s="33">
        <v>45910.0</v>
      </c>
      <c r="B9" s="34" t="s">
        <v>21</v>
      </c>
      <c r="C9" s="35" t="s">
        <v>35</v>
      </c>
      <c r="D9" s="35" t="s">
        <v>176</v>
      </c>
      <c r="E9" s="36">
        <v>1.0</v>
      </c>
      <c r="F9" s="33">
        <v>45910.0</v>
      </c>
      <c r="G9" s="38"/>
    </row>
    <row r="10">
      <c r="A10" s="33">
        <v>45910.0</v>
      </c>
      <c r="B10" s="34" t="s">
        <v>21</v>
      </c>
      <c r="C10" s="35" t="s">
        <v>35</v>
      </c>
      <c r="D10" s="35" t="s">
        <v>177</v>
      </c>
      <c r="E10" s="36">
        <v>1.0</v>
      </c>
      <c r="F10" s="33">
        <v>45910.0</v>
      </c>
      <c r="G10" s="39"/>
    </row>
    <row r="11">
      <c r="A11" s="33">
        <v>45911.0</v>
      </c>
      <c r="B11" s="34" t="s">
        <v>21</v>
      </c>
      <c r="C11" s="35" t="s">
        <v>35</v>
      </c>
      <c r="D11" s="35" t="s">
        <v>178</v>
      </c>
      <c r="E11" s="36">
        <v>1.0</v>
      </c>
      <c r="F11" s="33">
        <v>45911.0</v>
      </c>
      <c r="G11" s="39"/>
    </row>
    <row r="12">
      <c r="A12" s="33">
        <v>45911.0</v>
      </c>
      <c r="B12" s="34" t="s">
        <v>21</v>
      </c>
      <c r="C12" s="35" t="s">
        <v>35</v>
      </c>
      <c r="D12" s="35" t="s">
        <v>179</v>
      </c>
      <c r="E12" s="36">
        <v>1.0</v>
      </c>
      <c r="F12" s="33">
        <v>45911.0</v>
      </c>
      <c r="G12" s="38"/>
    </row>
    <row r="13">
      <c r="A13" s="33">
        <v>45911.0</v>
      </c>
      <c r="B13" s="34" t="s">
        <v>21</v>
      </c>
      <c r="C13" s="35" t="s">
        <v>35</v>
      </c>
      <c r="D13" s="35" t="s">
        <v>180</v>
      </c>
      <c r="E13" s="36">
        <v>1.0</v>
      </c>
      <c r="F13" s="33">
        <v>45911.0</v>
      </c>
      <c r="G13" s="40"/>
    </row>
    <row r="14">
      <c r="A14" s="33">
        <v>45915.0</v>
      </c>
      <c r="B14" s="34" t="s">
        <v>21</v>
      </c>
      <c r="C14" s="35" t="s">
        <v>51</v>
      </c>
      <c r="D14" s="35" t="s">
        <v>181</v>
      </c>
      <c r="E14" s="36">
        <v>1.0</v>
      </c>
      <c r="F14" s="33">
        <v>45915.0</v>
      </c>
      <c r="G14" s="38"/>
    </row>
    <row r="15">
      <c r="A15" s="33">
        <v>45916.0</v>
      </c>
      <c r="B15" s="34" t="s">
        <v>21</v>
      </c>
      <c r="C15" s="35" t="s">
        <v>35</v>
      </c>
      <c r="D15" s="35" t="s">
        <v>182</v>
      </c>
      <c r="E15" s="36">
        <v>1.0</v>
      </c>
      <c r="F15" s="33">
        <v>45916.0</v>
      </c>
      <c r="G15" s="38"/>
    </row>
    <row r="16">
      <c r="A16" s="33">
        <v>45916.0</v>
      </c>
      <c r="B16" s="34" t="s">
        <v>21</v>
      </c>
      <c r="C16" s="35" t="s">
        <v>51</v>
      </c>
      <c r="D16" s="35" t="s">
        <v>183</v>
      </c>
      <c r="E16" s="36">
        <v>1.0</v>
      </c>
      <c r="F16" s="33">
        <v>45916.0</v>
      </c>
      <c r="G16" s="39"/>
    </row>
    <row r="17">
      <c r="A17" s="33">
        <v>45916.0</v>
      </c>
      <c r="B17" s="34" t="s">
        <v>21</v>
      </c>
      <c r="C17" s="35" t="s">
        <v>35</v>
      </c>
      <c r="D17" s="35" t="s">
        <v>184</v>
      </c>
      <c r="E17" s="36">
        <v>1.0</v>
      </c>
      <c r="F17" s="33">
        <v>45916.0</v>
      </c>
      <c r="G17" s="38"/>
    </row>
    <row r="18">
      <c r="A18" s="33">
        <v>45917.0</v>
      </c>
      <c r="B18" s="34" t="s">
        <v>21</v>
      </c>
      <c r="C18" s="35" t="s">
        <v>35</v>
      </c>
      <c r="D18" s="35" t="s">
        <v>185</v>
      </c>
      <c r="E18" s="36">
        <v>1.0</v>
      </c>
      <c r="F18" s="33">
        <v>45917.0</v>
      </c>
      <c r="G18" s="38"/>
    </row>
    <row r="19">
      <c r="A19" s="33">
        <v>45917.0</v>
      </c>
      <c r="B19" s="34" t="s">
        <v>21</v>
      </c>
      <c r="C19" s="35" t="s">
        <v>35</v>
      </c>
      <c r="D19" s="35" t="s">
        <v>186</v>
      </c>
      <c r="E19" s="36">
        <v>1.0</v>
      </c>
      <c r="F19" s="33">
        <v>45917.0</v>
      </c>
      <c r="G19" s="38"/>
    </row>
    <row r="20">
      <c r="A20" s="33">
        <v>45917.0</v>
      </c>
      <c r="B20" s="34" t="s">
        <v>21</v>
      </c>
      <c r="C20" s="35" t="s">
        <v>35</v>
      </c>
      <c r="D20" s="35" t="s">
        <v>187</v>
      </c>
      <c r="E20" s="36">
        <v>1.0</v>
      </c>
      <c r="F20" s="33">
        <v>45917.0</v>
      </c>
      <c r="G20" s="40"/>
    </row>
    <row r="21">
      <c r="A21" s="33">
        <v>45918.0</v>
      </c>
      <c r="B21" s="34" t="s">
        <v>21</v>
      </c>
      <c r="C21" s="34" t="s">
        <v>51</v>
      </c>
      <c r="D21" s="35" t="s">
        <v>188</v>
      </c>
      <c r="E21" s="36">
        <v>1.0</v>
      </c>
      <c r="F21" s="33">
        <v>45918.0</v>
      </c>
      <c r="G21" s="40"/>
    </row>
    <row r="22">
      <c r="A22" s="33">
        <v>45918.0</v>
      </c>
      <c r="B22" s="34" t="s">
        <v>21</v>
      </c>
      <c r="C22" s="34" t="s">
        <v>51</v>
      </c>
      <c r="D22" s="35" t="s">
        <v>189</v>
      </c>
      <c r="E22" s="36">
        <v>1.0</v>
      </c>
      <c r="F22" s="33">
        <v>45918.0</v>
      </c>
      <c r="G22" s="40"/>
    </row>
    <row r="23">
      <c r="A23" s="33">
        <v>45918.0</v>
      </c>
      <c r="B23" s="34" t="s">
        <v>21</v>
      </c>
      <c r="C23" s="35" t="s">
        <v>51</v>
      </c>
      <c r="D23" s="35" t="s">
        <v>190</v>
      </c>
      <c r="E23" s="36">
        <v>1.0</v>
      </c>
      <c r="F23" s="33">
        <v>45918.0</v>
      </c>
      <c r="G23" s="40"/>
    </row>
    <row r="24">
      <c r="A24" s="33">
        <v>45918.0</v>
      </c>
      <c r="B24" s="34" t="s">
        <v>21</v>
      </c>
      <c r="C24" s="35" t="s">
        <v>51</v>
      </c>
      <c r="D24" s="35" t="s">
        <v>191</v>
      </c>
      <c r="E24" s="36">
        <v>1.0</v>
      </c>
      <c r="F24" s="33">
        <v>45918.0</v>
      </c>
      <c r="G24" s="40"/>
    </row>
    <row r="25">
      <c r="A25" s="33">
        <v>45919.0</v>
      </c>
      <c r="B25" s="34" t="s">
        <v>21</v>
      </c>
      <c r="C25" s="35" t="s">
        <v>35</v>
      </c>
      <c r="D25" s="35" t="s">
        <v>192</v>
      </c>
      <c r="E25" s="36">
        <v>1.0</v>
      </c>
      <c r="F25" s="33">
        <v>45919.0</v>
      </c>
      <c r="G25" s="40"/>
    </row>
    <row r="26">
      <c r="A26" s="33">
        <v>45919.0</v>
      </c>
      <c r="B26" s="34" t="s">
        <v>21</v>
      </c>
      <c r="C26" s="35" t="s">
        <v>35</v>
      </c>
      <c r="D26" s="35" t="s">
        <v>193</v>
      </c>
      <c r="E26" s="36">
        <v>1.0</v>
      </c>
      <c r="F26" s="33">
        <v>45919.0</v>
      </c>
      <c r="G26" s="40"/>
    </row>
    <row r="27">
      <c r="A27" s="33">
        <v>45922.0</v>
      </c>
      <c r="B27" s="34" t="s">
        <v>21</v>
      </c>
      <c r="C27" s="35" t="s">
        <v>35</v>
      </c>
      <c r="D27" s="35" t="s">
        <v>194</v>
      </c>
      <c r="E27" s="36">
        <v>1.0</v>
      </c>
      <c r="F27" s="33">
        <v>45922.0</v>
      </c>
      <c r="G27" s="40"/>
    </row>
    <row r="28">
      <c r="A28" s="33">
        <v>45922.0</v>
      </c>
      <c r="B28" s="34" t="s">
        <v>21</v>
      </c>
      <c r="C28" s="35" t="s">
        <v>35</v>
      </c>
      <c r="D28" s="35" t="s">
        <v>195</v>
      </c>
      <c r="E28" s="36">
        <v>1.0</v>
      </c>
      <c r="F28" s="33">
        <v>45922.0</v>
      </c>
      <c r="G28" s="40"/>
    </row>
    <row r="29">
      <c r="A29" s="33">
        <v>45922.0</v>
      </c>
      <c r="B29" s="34" t="s">
        <v>21</v>
      </c>
      <c r="C29" s="35" t="s">
        <v>35</v>
      </c>
      <c r="D29" s="35" t="s">
        <v>196</v>
      </c>
      <c r="E29" s="36">
        <v>1.0</v>
      </c>
      <c r="F29" s="33">
        <v>45922.0</v>
      </c>
      <c r="G29" s="40"/>
    </row>
    <row r="30">
      <c r="A30" s="33">
        <v>45922.0</v>
      </c>
      <c r="B30" s="34" t="s">
        <v>21</v>
      </c>
      <c r="C30" s="35" t="s">
        <v>35</v>
      </c>
      <c r="D30" s="35" t="s">
        <v>197</v>
      </c>
      <c r="E30" s="36">
        <v>1.0</v>
      </c>
      <c r="F30" s="33">
        <v>45922.0</v>
      </c>
      <c r="G30" s="40"/>
    </row>
    <row r="31">
      <c r="A31" s="33">
        <v>45922.0</v>
      </c>
      <c r="B31" s="34" t="s">
        <v>21</v>
      </c>
      <c r="C31" s="35" t="s">
        <v>35</v>
      </c>
      <c r="D31" s="35" t="s">
        <v>198</v>
      </c>
      <c r="E31" s="36">
        <v>1.0</v>
      </c>
      <c r="F31" s="33">
        <v>45922.0</v>
      </c>
      <c r="G31" s="40"/>
    </row>
    <row r="32">
      <c r="A32" s="33">
        <v>45923.0</v>
      </c>
      <c r="B32" s="34" t="s">
        <v>21</v>
      </c>
      <c r="C32" s="35" t="s">
        <v>35</v>
      </c>
      <c r="D32" s="35" t="s">
        <v>199</v>
      </c>
      <c r="E32" s="36">
        <v>1.0</v>
      </c>
      <c r="F32" s="33">
        <v>45923.0</v>
      </c>
      <c r="G32" s="40"/>
    </row>
    <row r="33">
      <c r="A33" s="33">
        <v>45923.0</v>
      </c>
      <c r="B33" s="34" t="s">
        <v>21</v>
      </c>
      <c r="C33" s="35" t="s">
        <v>51</v>
      </c>
      <c r="D33" s="35" t="s">
        <v>200</v>
      </c>
      <c r="E33" s="36">
        <v>1.0</v>
      </c>
      <c r="F33" s="33">
        <v>45923.0</v>
      </c>
      <c r="G33" s="40"/>
    </row>
    <row r="34">
      <c r="A34" s="33">
        <v>45924.0</v>
      </c>
      <c r="B34" s="34" t="s">
        <v>21</v>
      </c>
      <c r="C34" s="35" t="s">
        <v>51</v>
      </c>
      <c r="D34" s="35" t="s">
        <v>201</v>
      </c>
      <c r="E34" s="36">
        <v>1.0</v>
      </c>
      <c r="F34" s="33">
        <v>45924.0</v>
      </c>
      <c r="G34" s="40"/>
    </row>
    <row r="35">
      <c r="A35" s="33">
        <v>45924.0</v>
      </c>
      <c r="B35" s="34" t="s">
        <v>21</v>
      </c>
      <c r="C35" s="35" t="s">
        <v>35</v>
      </c>
      <c r="D35" s="35" t="s">
        <v>202</v>
      </c>
      <c r="E35" s="36">
        <v>1.0</v>
      </c>
      <c r="F35" s="33">
        <v>45924.0</v>
      </c>
      <c r="G35" s="40"/>
    </row>
    <row r="36">
      <c r="A36" s="33">
        <v>45924.0</v>
      </c>
      <c r="B36" s="34" t="s">
        <v>21</v>
      </c>
      <c r="C36" s="35" t="s">
        <v>35</v>
      </c>
      <c r="D36" s="35" t="s">
        <v>203</v>
      </c>
      <c r="E36" s="36">
        <v>1.0</v>
      </c>
      <c r="F36" s="33">
        <v>45924.0</v>
      </c>
      <c r="G36" s="40"/>
    </row>
    <row r="37">
      <c r="A37" s="33">
        <v>45926.0</v>
      </c>
      <c r="B37" s="34" t="s">
        <v>21</v>
      </c>
      <c r="C37" s="35" t="s">
        <v>35</v>
      </c>
      <c r="D37" s="35" t="s">
        <v>204</v>
      </c>
      <c r="E37" s="36">
        <v>1.0</v>
      </c>
      <c r="F37" s="33">
        <v>45926.0</v>
      </c>
      <c r="G37" s="40"/>
    </row>
    <row r="38">
      <c r="A38" s="33">
        <v>45926.0</v>
      </c>
      <c r="B38" s="34" t="s">
        <v>21</v>
      </c>
      <c r="C38" s="35" t="s">
        <v>35</v>
      </c>
      <c r="D38" s="35" t="s">
        <v>205</v>
      </c>
      <c r="E38" s="36">
        <v>1.0</v>
      </c>
      <c r="F38" s="33">
        <v>45926.0</v>
      </c>
      <c r="G38" s="40"/>
    </row>
    <row r="39">
      <c r="A39" s="33">
        <v>45926.0</v>
      </c>
      <c r="B39" s="34" t="s">
        <v>21</v>
      </c>
      <c r="C39" s="35" t="s">
        <v>35</v>
      </c>
      <c r="D39" s="35" t="s">
        <v>206</v>
      </c>
      <c r="E39" s="36">
        <v>1.0</v>
      </c>
      <c r="F39" s="33">
        <v>45926.0</v>
      </c>
      <c r="G39" s="40"/>
    </row>
    <row r="40">
      <c r="A40" s="33">
        <v>45926.0</v>
      </c>
      <c r="B40" s="34" t="s">
        <v>21</v>
      </c>
      <c r="C40" s="35" t="s">
        <v>35</v>
      </c>
      <c r="D40" s="35" t="s">
        <v>207</v>
      </c>
      <c r="E40" s="36">
        <v>1.0</v>
      </c>
      <c r="F40" s="33">
        <v>45926.0</v>
      </c>
      <c r="G40" s="40"/>
    </row>
    <row r="41">
      <c r="A41" s="33">
        <v>45926.0</v>
      </c>
      <c r="B41" s="34" t="s">
        <v>21</v>
      </c>
      <c r="C41" s="35" t="s">
        <v>35</v>
      </c>
      <c r="D41" s="35" t="s">
        <v>208</v>
      </c>
      <c r="E41" s="36">
        <v>1.0</v>
      </c>
      <c r="F41" s="33">
        <v>45926.0</v>
      </c>
      <c r="G41" s="40"/>
    </row>
    <row r="42">
      <c r="A42" s="33">
        <v>45926.0</v>
      </c>
      <c r="B42" s="34" t="s">
        <v>21</v>
      </c>
      <c r="C42" s="35" t="s">
        <v>35</v>
      </c>
      <c r="D42" s="35" t="s">
        <v>209</v>
      </c>
      <c r="E42" s="36">
        <v>1.0</v>
      </c>
      <c r="F42" s="33">
        <v>45926.0</v>
      </c>
      <c r="G42" s="40"/>
    </row>
    <row r="43">
      <c r="A43" s="33">
        <v>45929.0</v>
      </c>
      <c r="B43" s="34" t="s">
        <v>21</v>
      </c>
      <c r="C43" s="35" t="s">
        <v>35</v>
      </c>
      <c r="D43" s="35" t="s">
        <v>210</v>
      </c>
      <c r="E43" s="36">
        <v>1.0</v>
      </c>
      <c r="F43" s="33">
        <v>45929.0</v>
      </c>
      <c r="G43" s="40"/>
    </row>
    <row r="44">
      <c r="A44" s="33">
        <v>45929.0</v>
      </c>
      <c r="B44" s="34" t="s">
        <v>21</v>
      </c>
      <c r="C44" s="35" t="s">
        <v>35</v>
      </c>
      <c r="D44" s="35" t="s">
        <v>211</v>
      </c>
      <c r="E44" s="36">
        <v>1.0</v>
      </c>
      <c r="F44" s="33">
        <v>45929.0</v>
      </c>
      <c r="G44" s="40"/>
    </row>
    <row r="45">
      <c r="A45" s="41"/>
      <c r="B45" s="42"/>
      <c r="C45" s="43"/>
      <c r="D45" s="35"/>
      <c r="E45" s="44"/>
      <c r="F45" s="41"/>
      <c r="G45" s="40"/>
    </row>
    <row r="46">
      <c r="A46" s="41"/>
      <c r="B46" s="42"/>
      <c r="C46" s="43"/>
      <c r="D46" s="35"/>
      <c r="E46" s="44"/>
      <c r="F46" s="41"/>
      <c r="G46" s="40"/>
    </row>
    <row r="47">
      <c r="A47" s="41"/>
      <c r="B47" s="42"/>
      <c r="C47" s="43"/>
      <c r="D47" s="35"/>
      <c r="E47" s="44"/>
      <c r="F47" s="41"/>
      <c r="G47" s="40"/>
    </row>
    <row r="48">
      <c r="A48" s="41"/>
      <c r="B48" s="42"/>
      <c r="C48" s="43"/>
      <c r="D48" s="35"/>
      <c r="E48" s="44"/>
      <c r="F48" s="41"/>
      <c r="G48" s="40"/>
    </row>
    <row r="49">
      <c r="A49" s="41"/>
      <c r="B49" s="42"/>
      <c r="C49" s="43"/>
      <c r="D49" s="35"/>
      <c r="E49" s="44"/>
      <c r="F49" s="41"/>
      <c r="G49" s="40"/>
    </row>
  </sheetData>
  <dataValidations>
    <dataValidation type="list" allowBlank="1" showErrorMessage="1" sqref="C2:C44">
      <formula1>"Sírio-Libanês,NatJus Blog,Stryker"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67.5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45932.0</v>
      </c>
      <c r="B2" s="34" t="s">
        <v>21</v>
      </c>
      <c r="C2" s="35" t="s">
        <v>35</v>
      </c>
      <c r="D2" s="35" t="s">
        <v>212</v>
      </c>
      <c r="E2" s="36">
        <v>1.0</v>
      </c>
      <c r="F2" s="33">
        <v>45932.0</v>
      </c>
      <c r="G2" s="39"/>
    </row>
    <row r="3">
      <c r="A3" s="33">
        <v>45933.0</v>
      </c>
      <c r="B3" s="34" t="s">
        <v>153</v>
      </c>
      <c r="C3" s="35" t="s">
        <v>35</v>
      </c>
      <c r="D3" s="35" t="s">
        <v>213</v>
      </c>
      <c r="E3" s="36">
        <v>1.0</v>
      </c>
      <c r="F3" s="33">
        <v>45933.0</v>
      </c>
      <c r="G3" s="38"/>
    </row>
    <row r="4">
      <c r="A4" s="33">
        <v>45937.0</v>
      </c>
      <c r="B4" s="34" t="s">
        <v>21</v>
      </c>
      <c r="C4" s="35" t="s">
        <v>51</v>
      </c>
      <c r="D4" s="35" t="s">
        <v>214</v>
      </c>
      <c r="E4" s="36">
        <v>1.0</v>
      </c>
      <c r="F4" s="33">
        <v>45937.0</v>
      </c>
      <c r="G4" s="38"/>
    </row>
    <row r="5">
      <c r="A5" s="33">
        <v>45937.0</v>
      </c>
      <c r="B5" s="34" t="s">
        <v>21</v>
      </c>
      <c r="C5" s="35" t="s">
        <v>51</v>
      </c>
      <c r="D5" s="35" t="s">
        <v>215</v>
      </c>
      <c r="E5" s="36">
        <v>1.0</v>
      </c>
      <c r="F5" s="33">
        <v>45937.0</v>
      </c>
      <c r="G5" s="39"/>
    </row>
    <row r="6">
      <c r="A6" s="33">
        <v>45937.0</v>
      </c>
      <c r="B6" s="34" t="s">
        <v>21</v>
      </c>
      <c r="C6" s="35" t="s">
        <v>35</v>
      </c>
      <c r="D6" s="35" t="s">
        <v>216</v>
      </c>
      <c r="E6" s="36">
        <v>1.0</v>
      </c>
      <c r="F6" s="33">
        <v>45937.0</v>
      </c>
      <c r="G6" s="39"/>
    </row>
    <row r="7">
      <c r="A7" s="33">
        <v>45937.0</v>
      </c>
      <c r="B7" s="34" t="s">
        <v>21</v>
      </c>
      <c r="C7" s="35" t="s">
        <v>35</v>
      </c>
      <c r="D7" s="35" t="s">
        <v>217</v>
      </c>
      <c r="E7" s="36">
        <v>1.0</v>
      </c>
      <c r="F7" s="33">
        <v>45937.0</v>
      </c>
      <c r="G7" s="39"/>
    </row>
    <row r="8">
      <c r="A8" s="33">
        <v>45938.0</v>
      </c>
      <c r="B8" s="34" t="s">
        <v>21</v>
      </c>
      <c r="C8" s="35" t="s">
        <v>35</v>
      </c>
      <c r="D8" s="35" t="s">
        <v>218</v>
      </c>
      <c r="E8" s="36">
        <v>1.0</v>
      </c>
      <c r="F8" s="33">
        <v>45938.0</v>
      </c>
      <c r="G8" s="39"/>
    </row>
    <row r="9">
      <c r="A9" s="33">
        <v>45940.0</v>
      </c>
      <c r="B9" s="34" t="s">
        <v>21</v>
      </c>
      <c r="C9" s="35" t="s">
        <v>35</v>
      </c>
      <c r="D9" s="35" t="s">
        <v>219</v>
      </c>
      <c r="E9" s="36">
        <v>1.0</v>
      </c>
      <c r="F9" s="33">
        <v>45940.0</v>
      </c>
      <c r="G9" s="38"/>
    </row>
    <row r="10">
      <c r="A10" s="33">
        <v>45943.0</v>
      </c>
      <c r="B10" s="34" t="s">
        <v>21</v>
      </c>
      <c r="C10" s="35" t="s">
        <v>35</v>
      </c>
      <c r="D10" s="35" t="s">
        <v>220</v>
      </c>
      <c r="E10" s="36">
        <v>1.0</v>
      </c>
      <c r="F10" s="33">
        <v>45943.0</v>
      </c>
      <c r="G10" s="39"/>
    </row>
    <row r="11">
      <c r="A11" s="33">
        <v>45943.0</v>
      </c>
      <c r="B11" s="34" t="s">
        <v>21</v>
      </c>
      <c r="C11" s="35" t="s">
        <v>35</v>
      </c>
      <c r="D11" s="35" t="s">
        <v>221</v>
      </c>
      <c r="E11" s="36">
        <v>1.0</v>
      </c>
      <c r="F11" s="33">
        <v>45943.0</v>
      </c>
      <c r="G11" s="39"/>
    </row>
    <row r="12">
      <c r="A12" s="33">
        <v>45943.0</v>
      </c>
      <c r="B12" s="34" t="s">
        <v>21</v>
      </c>
      <c r="C12" s="35" t="s">
        <v>35</v>
      </c>
      <c r="D12" s="35" t="s">
        <v>222</v>
      </c>
      <c r="E12" s="36">
        <v>1.0</v>
      </c>
      <c r="F12" s="33">
        <v>45943.0</v>
      </c>
      <c r="G12" s="38"/>
    </row>
    <row r="13">
      <c r="A13" s="33">
        <v>45944.0</v>
      </c>
      <c r="B13" s="34" t="s">
        <v>21</v>
      </c>
      <c r="C13" s="35" t="s">
        <v>35</v>
      </c>
      <c r="D13" s="35" t="s">
        <v>223</v>
      </c>
      <c r="E13" s="36">
        <v>1.0</v>
      </c>
      <c r="F13" s="33">
        <v>45944.0</v>
      </c>
      <c r="G13" s="40"/>
    </row>
    <row r="14">
      <c r="A14" s="33">
        <v>45944.0</v>
      </c>
      <c r="B14" s="34" t="s">
        <v>21</v>
      </c>
      <c r="C14" s="35" t="s">
        <v>35</v>
      </c>
      <c r="D14" s="35" t="s">
        <v>224</v>
      </c>
      <c r="E14" s="36">
        <v>1.0</v>
      </c>
      <c r="F14" s="33">
        <v>45944.0</v>
      </c>
      <c r="G14" s="38"/>
    </row>
    <row r="15">
      <c r="A15" s="33">
        <v>45945.0</v>
      </c>
      <c r="B15" s="34" t="s">
        <v>21</v>
      </c>
      <c r="C15" s="35" t="s">
        <v>51</v>
      </c>
      <c r="D15" s="35" t="s">
        <v>225</v>
      </c>
      <c r="E15" s="36">
        <v>1.0</v>
      </c>
      <c r="F15" s="33">
        <v>45945.0</v>
      </c>
      <c r="G15" s="38"/>
    </row>
    <row r="16">
      <c r="A16" s="33">
        <v>45945.0</v>
      </c>
      <c r="B16" s="34" t="s">
        <v>21</v>
      </c>
      <c r="C16" s="35" t="s">
        <v>51</v>
      </c>
      <c r="D16" s="35" t="s">
        <v>226</v>
      </c>
      <c r="E16" s="36">
        <v>1.0</v>
      </c>
      <c r="F16" s="33">
        <v>45945.0</v>
      </c>
      <c r="G16" s="39"/>
    </row>
    <row r="17">
      <c r="A17" s="33">
        <v>45945.0</v>
      </c>
      <c r="B17" s="34" t="s">
        <v>21</v>
      </c>
      <c r="C17" s="35" t="s">
        <v>35</v>
      </c>
      <c r="D17" s="35" t="s">
        <v>227</v>
      </c>
      <c r="E17" s="36">
        <v>1.0</v>
      </c>
      <c r="F17" s="33">
        <v>45945.0</v>
      </c>
      <c r="G17" s="38"/>
    </row>
    <row r="18">
      <c r="A18" s="33">
        <v>45945.0</v>
      </c>
      <c r="B18" s="34" t="s">
        <v>21</v>
      </c>
      <c r="C18" s="35" t="s">
        <v>35</v>
      </c>
      <c r="D18" s="35" t="s">
        <v>228</v>
      </c>
      <c r="E18" s="36">
        <v>1.0</v>
      </c>
      <c r="F18" s="33">
        <v>45945.0</v>
      </c>
      <c r="G18" s="38"/>
    </row>
    <row r="19">
      <c r="A19" s="33">
        <v>45945.0</v>
      </c>
      <c r="B19" s="34" t="s">
        <v>21</v>
      </c>
      <c r="C19" s="35" t="s">
        <v>35</v>
      </c>
      <c r="D19" s="35" t="s">
        <v>229</v>
      </c>
      <c r="E19" s="36">
        <v>1.0</v>
      </c>
      <c r="F19" s="33">
        <v>45945.0</v>
      </c>
      <c r="G19" s="38"/>
    </row>
    <row r="20">
      <c r="A20" s="33">
        <v>45946.0</v>
      </c>
      <c r="B20" s="34" t="s">
        <v>21</v>
      </c>
      <c r="C20" s="35" t="s">
        <v>35</v>
      </c>
      <c r="D20" s="35" t="s">
        <v>230</v>
      </c>
      <c r="E20" s="36">
        <v>1.0</v>
      </c>
      <c r="F20" s="33">
        <v>45946.0</v>
      </c>
      <c r="G20" s="40"/>
    </row>
    <row r="21">
      <c r="A21" s="33">
        <v>45947.0</v>
      </c>
      <c r="B21" s="34" t="s">
        <v>21</v>
      </c>
      <c r="C21" s="34" t="s">
        <v>35</v>
      </c>
      <c r="D21" s="35" t="s">
        <v>231</v>
      </c>
      <c r="E21" s="36">
        <v>1.0</v>
      </c>
      <c r="F21" s="33">
        <v>45947.0</v>
      </c>
      <c r="G21" s="40"/>
    </row>
    <row r="22">
      <c r="A22" s="33">
        <v>45947.0</v>
      </c>
      <c r="B22" s="34" t="s">
        <v>21</v>
      </c>
      <c r="C22" s="34" t="s">
        <v>35</v>
      </c>
      <c r="D22" s="35" t="s">
        <v>232</v>
      </c>
      <c r="E22" s="36">
        <v>1.0</v>
      </c>
      <c r="F22" s="33">
        <v>45947.0</v>
      </c>
      <c r="G22" s="40"/>
    </row>
    <row r="23">
      <c r="A23" s="33">
        <v>45947.0</v>
      </c>
      <c r="B23" s="34" t="s">
        <v>21</v>
      </c>
      <c r="C23" s="35" t="s">
        <v>35</v>
      </c>
      <c r="D23" s="35" t="s">
        <v>233</v>
      </c>
      <c r="E23" s="36">
        <v>1.0</v>
      </c>
      <c r="F23" s="33">
        <v>45947.0</v>
      </c>
      <c r="G23" s="40"/>
    </row>
    <row r="24">
      <c r="A24" s="33">
        <v>45951.0</v>
      </c>
      <c r="B24" s="34" t="s">
        <v>21</v>
      </c>
      <c r="C24" s="35" t="s">
        <v>35</v>
      </c>
      <c r="D24" s="35" t="s">
        <v>234</v>
      </c>
      <c r="E24" s="36">
        <v>1.0</v>
      </c>
      <c r="F24" s="33">
        <v>45951.0</v>
      </c>
      <c r="G24" s="40"/>
    </row>
    <row r="25">
      <c r="A25" s="33">
        <v>45951.0</v>
      </c>
      <c r="B25" s="34" t="s">
        <v>21</v>
      </c>
      <c r="C25" s="35" t="s">
        <v>35</v>
      </c>
      <c r="D25" s="35" t="s">
        <v>235</v>
      </c>
      <c r="E25" s="36">
        <v>1.0</v>
      </c>
      <c r="F25" s="33">
        <v>45951.0</v>
      </c>
      <c r="G25" s="40"/>
    </row>
    <row r="26">
      <c r="A26" s="33">
        <v>45951.0</v>
      </c>
      <c r="B26" s="34" t="s">
        <v>21</v>
      </c>
      <c r="C26" s="35" t="s">
        <v>35</v>
      </c>
      <c r="D26" s="35" t="s">
        <v>236</v>
      </c>
      <c r="E26" s="36">
        <v>1.0</v>
      </c>
      <c r="F26" s="33">
        <v>45951.0</v>
      </c>
      <c r="G26" s="40"/>
    </row>
    <row r="27">
      <c r="A27" s="33">
        <v>45952.0</v>
      </c>
      <c r="B27" s="34" t="s">
        <v>21</v>
      </c>
      <c r="C27" s="35" t="s">
        <v>35</v>
      </c>
      <c r="D27" s="35" t="s">
        <v>219</v>
      </c>
      <c r="E27" s="36">
        <v>1.0</v>
      </c>
      <c r="F27" s="33">
        <v>45952.0</v>
      </c>
      <c r="G27" s="40"/>
    </row>
    <row r="28">
      <c r="A28" s="33">
        <v>45952.0</v>
      </c>
      <c r="B28" s="34" t="s">
        <v>21</v>
      </c>
      <c r="C28" s="35" t="s">
        <v>35</v>
      </c>
      <c r="D28" s="35" t="s">
        <v>199</v>
      </c>
      <c r="E28" s="36">
        <v>1.0</v>
      </c>
      <c r="F28" s="33">
        <v>45952.0</v>
      </c>
      <c r="G28" s="40"/>
    </row>
    <row r="29">
      <c r="A29" s="33">
        <v>45953.0</v>
      </c>
      <c r="B29" s="34" t="s">
        <v>21</v>
      </c>
      <c r="C29" s="35" t="s">
        <v>35</v>
      </c>
      <c r="D29" s="35" t="s">
        <v>237</v>
      </c>
      <c r="E29" s="36">
        <v>1.0</v>
      </c>
      <c r="F29" s="33">
        <v>45953.0</v>
      </c>
      <c r="G29" s="40"/>
    </row>
    <row r="30">
      <c r="A30" s="33">
        <v>45953.0</v>
      </c>
      <c r="B30" s="34" t="s">
        <v>21</v>
      </c>
      <c r="C30" s="35" t="s">
        <v>35</v>
      </c>
      <c r="D30" s="35" t="s">
        <v>238</v>
      </c>
      <c r="E30" s="36">
        <v>1.0</v>
      </c>
      <c r="F30" s="33">
        <v>45953.0</v>
      </c>
      <c r="G30" s="40"/>
    </row>
    <row r="31">
      <c r="A31" s="33">
        <v>45953.0</v>
      </c>
      <c r="B31" s="34" t="s">
        <v>21</v>
      </c>
      <c r="C31" s="35" t="s">
        <v>35</v>
      </c>
      <c r="D31" s="35" t="s">
        <v>239</v>
      </c>
      <c r="E31" s="36">
        <v>1.0</v>
      </c>
      <c r="F31" s="33">
        <v>45953.0</v>
      </c>
      <c r="G31" s="40"/>
    </row>
    <row r="32">
      <c r="A32" s="33">
        <v>45953.0</v>
      </c>
      <c r="B32" s="34" t="s">
        <v>21</v>
      </c>
      <c r="C32" s="35" t="s">
        <v>35</v>
      </c>
      <c r="D32" s="35" t="s">
        <v>240</v>
      </c>
      <c r="E32" s="36">
        <v>1.0</v>
      </c>
      <c r="F32" s="33">
        <v>45953.0</v>
      </c>
      <c r="G32" s="40"/>
    </row>
    <row r="33">
      <c r="A33" s="33">
        <v>45954.0</v>
      </c>
      <c r="B33" s="34" t="s">
        <v>21</v>
      </c>
      <c r="C33" s="35" t="s">
        <v>35</v>
      </c>
      <c r="D33" s="35" t="s">
        <v>241</v>
      </c>
      <c r="E33" s="36">
        <v>1.0</v>
      </c>
      <c r="F33" s="33">
        <v>45954.0</v>
      </c>
      <c r="G33" s="40"/>
    </row>
    <row r="34">
      <c r="A34" s="33">
        <v>45954.0</v>
      </c>
      <c r="B34" s="34" t="s">
        <v>21</v>
      </c>
      <c r="C34" s="35" t="s">
        <v>35</v>
      </c>
      <c r="D34" s="35" t="s">
        <v>242</v>
      </c>
      <c r="E34" s="36">
        <v>1.0</v>
      </c>
      <c r="F34" s="33">
        <v>45954.0</v>
      </c>
      <c r="G34" s="40"/>
    </row>
    <row r="35">
      <c r="A35" s="33">
        <v>45958.0</v>
      </c>
      <c r="B35" s="34" t="s">
        <v>21</v>
      </c>
      <c r="C35" s="35" t="s">
        <v>35</v>
      </c>
      <c r="D35" s="35" t="s">
        <v>243</v>
      </c>
      <c r="E35" s="36">
        <v>1.0</v>
      </c>
      <c r="F35" s="33">
        <v>45958.0</v>
      </c>
      <c r="G35" s="40"/>
    </row>
    <row r="36">
      <c r="A36" s="33">
        <v>45959.0</v>
      </c>
      <c r="B36" s="34" t="s">
        <v>21</v>
      </c>
      <c r="C36" s="35" t="s">
        <v>35</v>
      </c>
      <c r="D36" s="35" t="s">
        <v>244</v>
      </c>
      <c r="E36" s="36">
        <v>1.0</v>
      </c>
      <c r="F36" s="33">
        <v>45959.0</v>
      </c>
      <c r="G36" s="40"/>
    </row>
    <row r="37">
      <c r="A37" s="33">
        <v>45960.0</v>
      </c>
      <c r="B37" s="34" t="s">
        <v>21</v>
      </c>
      <c r="C37" s="35" t="s">
        <v>35</v>
      </c>
      <c r="D37" s="35" t="s">
        <v>245</v>
      </c>
      <c r="E37" s="36">
        <v>1.0</v>
      </c>
      <c r="F37" s="33">
        <v>45960.0</v>
      </c>
      <c r="G37" s="40"/>
    </row>
    <row r="38">
      <c r="A38" s="33">
        <v>45961.0</v>
      </c>
      <c r="B38" s="34" t="s">
        <v>21</v>
      </c>
      <c r="C38" s="35" t="s">
        <v>35</v>
      </c>
      <c r="D38" s="35" t="s">
        <v>246</v>
      </c>
      <c r="E38" s="36">
        <v>1.0</v>
      </c>
      <c r="F38" s="33">
        <v>45961.0</v>
      </c>
      <c r="G38" s="40"/>
    </row>
    <row r="39">
      <c r="A39" s="33"/>
      <c r="B39" s="34"/>
      <c r="C39" s="35"/>
      <c r="D39" s="35"/>
      <c r="E39" s="36"/>
      <c r="F39" s="33"/>
      <c r="G39" s="40"/>
    </row>
    <row r="40">
      <c r="A40" s="33"/>
      <c r="B40" s="34"/>
      <c r="C40" s="35"/>
      <c r="D40" s="35"/>
      <c r="E40" s="36"/>
      <c r="F40" s="33"/>
      <c r="G40" s="40"/>
    </row>
    <row r="41">
      <c r="A41" s="33"/>
      <c r="B41" s="34"/>
      <c r="C41" s="35"/>
      <c r="D41" s="35"/>
      <c r="E41" s="36"/>
      <c r="F41" s="33"/>
      <c r="G41" s="40"/>
    </row>
    <row r="42">
      <c r="A42" s="33"/>
      <c r="B42" s="34"/>
      <c r="C42" s="35"/>
      <c r="D42" s="35"/>
      <c r="E42" s="36"/>
      <c r="F42" s="33"/>
      <c r="G42" s="40"/>
    </row>
    <row r="43">
      <c r="A43" s="33"/>
      <c r="B43" s="34"/>
      <c r="C43" s="35"/>
      <c r="D43" s="35"/>
      <c r="E43" s="36"/>
      <c r="F43" s="33"/>
      <c r="G43" s="40"/>
    </row>
    <row r="44">
      <c r="A44" s="33"/>
      <c r="B44" s="34"/>
      <c r="C44" s="35"/>
      <c r="D44" s="35"/>
      <c r="E44" s="36"/>
      <c r="F44" s="33"/>
      <c r="G44" s="40"/>
    </row>
    <row r="45">
      <c r="A45" s="41"/>
      <c r="B45" s="42"/>
      <c r="C45" s="43"/>
      <c r="D45" s="35"/>
      <c r="E45" s="44"/>
      <c r="F45" s="41"/>
      <c r="G45" s="40"/>
    </row>
    <row r="46">
      <c r="A46" s="41"/>
      <c r="B46" s="42"/>
      <c r="C46" s="43"/>
      <c r="D46" s="35"/>
      <c r="E46" s="44"/>
      <c r="F46" s="41"/>
      <c r="G46" s="40"/>
    </row>
    <row r="47">
      <c r="A47" s="41"/>
      <c r="B47" s="42"/>
      <c r="C47" s="43"/>
      <c r="D47" s="35"/>
      <c r="E47" s="44"/>
      <c r="F47" s="41"/>
      <c r="G47" s="40"/>
    </row>
    <row r="48">
      <c r="A48" s="41"/>
      <c r="B48" s="42"/>
      <c r="C48" s="43"/>
      <c r="D48" s="35"/>
      <c r="E48" s="44"/>
      <c r="F48" s="41"/>
      <c r="G48" s="40"/>
    </row>
    <row r="49">
      <c r="A49" s="41"/>
      <c r="B49" s="42"/>
      <c r="C49" s="43"/>
      <c r="D49" s="35"/>
      <c r="E49" s="44"/>
      <c r="F49" s="41"/>
      <c r="G49" s="40"/>
    </row>
  </sheetData>
  <dataValidations>
    <dataValidation type="list" allowBlank="1" showErrorMessage="1" sqref="C2:C38">
      <formula1>"Sírio-Libanês,NatJus Blog,Stryker"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67.5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45964.0</v>
      </c>
      <c r="B2" s="34" t="s">
        <v>247</v>
      </c>
      <c r="C2" s="35" t="s">
        <v>35</v>
      </c>
      <c r="D2" s="35" t="s">
        <v>248</v>
      </c>
      <c r="E2" s="36">
        <v>1.0</v>
      </c>
      <c r="F2" s="33">
        <v>45964.0</v>
      </c>
      <c r="G2" s="39"/>
    </row>
    <row r="3">
      <c r="A3" s="33">
        <v>45965.0</v>
      </c>
      <c r="B3" s="34" t="s">
        <v>247</v>
      </c>
      <c r="C3" s="35" t="s">
        <v>35</v>
      </c>
      <c r="D3" s="35" t="s">
        <v>249</v>
      </c>
      <c r="E3" s="36">
        <v>1.0</v>
      </c>
      <c r="F3" s="33">
        <v>45965.0</v>
      </c>
      <c r="G3" s="38"/>
    </row>
    <row r="4">
      <c r="A4" s="33">
        <v>45966.0</v>
      </c>
      <c r="B4" s="34" t="s">
        <v>247</v>
      </c>
      <c r="C4" s="35" t="s">
        <v>35</v>
      </c>
      <c r="D4" s="35" t="s">
        <v>250</v>
      </c>
      <c r="E4" s="36">
        <v>1.0</v>
      </c>
      <c r="F4" s="33">
        <v>45966.0</v>
      </c>
      <c r="G4" s="38"/>
    </row>
    <row r="5">
      <c r="A5" s="33">
        <v>45967.0</v>
      </c>
      <c r="B5" s="34" t="s">
        <v>247</v>
      </c>
      <c r="C5" s="35" t="s">
        <v>35</v>
      </c>
      <c r="D5" s="35" t="s">
        <v>251</v>
      </c>
      <c r="E5" s="36">
        <v>1.0</v>
      </c>
      <c r="F5" s="33">
        <v>45967.0</v>
      </c>
      <c r="G5" s="39"/>
    </row>
    <row r="6">
      <c r="A6" s="33">
        <v>45974.0</v>
      </c>
      <c r="B6" s="34" t="s">
        <v>247</v>
      </c>
      <c r="C6" s="35" t="s">
        <v>35</v>
      </c>
      <c r="D6" s="35" t="s">
        <v>252</v>
      </c>
      <c r="E6" s="36">
        <v>4.0</v>
      </c>
      <c r="F6" s="33">
        <v>45974.0</v>
      </c>
      <c r="G6" s="38" t="s">
        <v>253</v>
      </c>
    </row>
    <row r="7">
      <c r="A7" s="33">
        <v>45978.0</v>
      </c>
      <c r="B7" s="34" t="s">
        <v>247</v>
      </c>
      <c r="C7" s="35" t="s">
        <v>35</v>
      </c>
      <c r="D7" s="35" t="s">
        <v>254</v>
      </c>
      <c r="E7" s="36">
        <v>1.0</v>
      </c>
      <c r="F7" s="33">
        <v>45978.0</v>
      </c>
      <c r="G7" s="39"/>
    </row>
    <row r="8">
      <c r="A8" s="33">
        <v>45979.0</v>
      </c>
      <c r="B8" s="34" t="s">
        <v>247</v>
      </c>
      <c r="C8" s="35" t="s">
        <v>35</v>
      </c>
      <c r="D8" s="35" t="s">
        <v>255</v>
      </c>
      <c r="E8" s="36">
        <v>1.0</v>
      </c>
      <c r="F8" s="33">
        <v>45979.0</v>
      </c>
      <c r="G8" s="39"/>
    </row>
    <row r="9">
      <c r="A9" s="33">
        <v>45979.0</v>
      </c>
      <c r="B9" s="34" t="s">
        <v>247</v>
      </c>
      <c r="C9" s="35" t="s">
        <v>35</v>
      </c>
      <c r="D9" s="35" t="s">
        <v>256</v>
      </c>
      <c r="E9" s="36">
        <v>1.0</v>
      </c>
      <c r="F9" s="33">
        <v>45979.0</v>
      </c>
      <c r="G9" s="38"/>
    </row>
    <row r="10">
      <c r="A10" s="33">
        <v>45979.0</v>
      </c>
      <c r="B10" s="34" t="s">
        <v>247</v>
      </c>
      <c r="C10" s="35" t="s">
        <v>35</v>
      </c>
      <c r="D10" s="35" t="s">
        <v>257</v>
      </c>
      <c r="E10" s="36">
        <v>1.0</v>
      </c>
      <c r="F10" s="33">
        <v>45979.0</v>
      </c>
      <c r="G10" s="39"/>
    </row>
    <row r="11">
      <c r="A11" s="33">
        <v>45980.0</v>
      </c>
      <c r="B11" s="34" t="s">
        <v>247</v>
      </c>
      <c r="C11" s="35" t="s">
        <v>35</v>
      </c>
      <c r="D11" s="35" t="s">
        <v>258</v>
      </c>
      <c r="E11" s="36">
        <v>1.0</v>
      </c>
      <c r="F11" s="33">
        <v>45980.0</v>
      </c>
      <c r="G11" s="39"/>
    </row>
    <row r="12">
      <c r="A12" s="33">
        <v>45980.0</v>
      </c>
      <c r="B12" s="34" t="s">
        <v>247</v>
      </c>
      <c r="C12" s="35" t="s">
        <v>35</v>
      </c>
      <c r="D12" s="35" t="s">
        <v>259</v>
      </c>
      <c r="E12" s="36">
        <v>1.0</v>
      </c>
      <c r="F12" s="33">
        <v>45980.0</v>
      </c>
      <c r="G12" s="38"/>
    </row>
    <row r="13">
      <c r="A13" s="33">
        <v>45980.0</v>
      </c>
      <c r="B13" s="34" t="s">
        <v>247</v>
      </c>
      <c r="C13" s="35" t="s">
        <v>35</v>
      </c>
      <c r="D13" s="35" t="s">
        <v>260</v>
      </c>
      <c r="E13" s="36">
        <v>1.0</v>
      </c>
      <c r="F13" s="33">
        <v>45980.0</v>
      </c>
      <c r="G13" s="40"/>
    </row>
    <row r="14">
      <c r="A14" s="33">
        <v>45984.0</v>
      </c>
      <c r="B14" s="34" t="s">
        <v>247</v>
      </c>
      <c r="C14" s="35" t="s">
        <v>35</v>
      </c>
      <c r="D14" s="35" t="s">
        <v>261</v>
      </c>
      <c r="E14" s="36">
        <v>5.0</v>
      </c>
      <c r="F14" s="33">
        <v>45985.0</v>
      </c>
      <c r="G14" s="47" t="s">
        <v>262</v>
      </c>
    </row>
    <row r="15">
      <c r="A15" s="33">
        <v>45985.0</v>
      </c>
      <c r="B15" s="34" t="s">
        <v>247</v>
      </c>
      <c r="C15" s="35" t="s">
        <v>35</v>
      </c>
      <c r="D15" s="35" t="s">
        <v>263</v>
      </c>
      <c r="E15" s="36">
        <v>2.0</v>
      </c>
      <c r="F15" s="33">
        <v>45985.0</v>
      </c>
      <c r="G15" s="38" t="s">
        <v>264</v>
      </c>
    </row>
    <row r="16">
      <c r="A16" s="33">
        <v>45985.0</v>
      </c>
      <c r="B16" s="34" t="s">
        <v>247</v>
      </c>
      <c r="C16" s="35" t="s">
        <v>35</v>
      </c>
      <c r="D16" s="35" t="s">
        <v>265</v>
      </c>
      <c r="E16" s="36">
        <v>1.0</v>
      </c>
      <c r="F16" s="33">
        <v>45985.0</v>
      </c>
      <c r="G16" s="38" t="s">
        <v>264</v>
      </c>
    </row>
    <row r="17">
      <c r="A17" s="33">
        <v>45986.0</v>
      </c>
      <c r="B17" s="34" t="s">
        <v>247</v>
      </c>
      <c r="C17" s="35" t="s">
        <v>35</v>
      </c>
      <c r="D17" s="35" t="s">
        <v>266</v>
      </c>
      <c r="E17" s="36">
        <v>1.0</v>
      </c>
      <c r="F17" s="33">
        <v>45986.0</v>
      </c>
      <c r="G17" s="38"/>
    </row>
    <row r="18">
      <c r="A18" s="33">
        <v>45986.0</v>
      </c>
      <c r="B18" s="34" t="s">
        <v>247</v>
      </c>
      <c r="C18" s="35" t="s">
        <v>35</v>
      </c>
      <c r="D18" s="35" t="s">
        <v>267</v>
      </c>
      <c r="E18" s="36">
        <v>1.0</v>
      </c>
      <c r="F18" s="33">
        <v>45986.0</v>
      </c>
      <c r="G18" s="38"/>
    </row>
    <row r="19">
      <c r="A19" s="33">
        <v>45986.0</v>
      </c>
      <c r="B19" s="34" t="s">
        <v>247</v>
      </c>
      <c r="C19" s="35" t="s">
        <v>35</v>
      </c>
      <c r="D19" s="35" t="s">
        <v>268</v>
      </c>
      <c r="E19" s="36">
        <v>1.0</v>
      </c>
      <c r="F19" s="33">
        <v>45986.0</v>
      </c>
      <c r="G19" s="38"/>
    </row>
    <row r="20">
      <c r="A20" s="33">
        <v>45986.0</v>
      </c>
      <c r="B20" s="34" t="s">
        <v>247</v>
      </c>
      <c r="C20" s="35" t="s">
        <v>35</v>
      </c>
      <c r="D20" s="35" t="s">
        <v>269</v>
      </c>
      <c r="E20" s="36">
        <v>1.0</v>
      </c>
      <c r="F20" s="33">
        <v>45987.0</v>
      </c>
      <c r="G20" s="40"/>
    </row>
    <row r="21">
      <c r="A21" s="33">
        <v>45986.0</v>
      </c>
      <c r="B21" s="34" t="s">
        <v>247</v>
      </c>
      <c r="C21" s="34" t="s">
        <v>35</v>
      </c>
      <c r="D21" s="35" t="s">
        <v>270</v>
      </c>
      <c r="E21" s="36">
        <v>1.0</v>
      </c>
      <c r="F21" s="33">
        <v>45987.0</v>
      </c>
      <c r="G21" s="40"/>
    </row>
    <row r="22">
      <c r="A22" s="48">
        <v>45987.0</v>
      </c>
      <c r="B22" s="34" t="s">
        <v>247</v>
      </c>
      <c r="C22" s="34" t="s">
        <v>271</v>
      </c>
      <c r="D22" s="35" t="s">
        <v>272</v>
      </c>
      <c r="E22" s="36">
        <v>1.0</v>
      </c>
      <c r="F22" s="33">
        <v>45987.0</v>
      </c>
      <c r="G22" s="40"/>
    </row>
    <row r="23">
      <c r="A23" s="33">
        <v>45987.0</v>
      </c>
      <c r="B23" s="34" t="s">
        <v>247</v>
      </c>
      <c r="C23" s="35" t="s">
        <v>35</v>
      </c>
      <c r="D23" s="35" t="s">
        <v>273</v>
      </c>
      <c r="E23" s="36">
        <v>1.0</v>
      </c>
      <c r="F23" s="33">
        <v>45988.0</v>
      </c>
      <c r="G23" s="40"/>
    </row>
    <row r="24">
      <c r="A24" s="33">
        <v>45987.0</v>
      </c>
      <c r="B24" s="34" t="s">
        <v>247</v>
      </c>
      <c r="C24" s="35" t="s">
        <v>35</v>
      </c>
      <c r="D24" s="35" t="s">
        <v>274</v>
      </c>
      <c r="E24" s="36">
        <v>1.0</v>
      </c>
      <c r="F24" s="33">
        <v>45988.0</v>
      </c>
      <c r="G24" s="40"/>
    </row>
    <row r="25">
      <c r="A25" s="33">
        <v>45989.0</v>
      </c>
      <c r="B25" s="34" t="s">
        <v>247</v>
      </c>
      <c r="C25" s="35" t="s">
        <v>35</v>
      </c>
      <c r="D25" s="35" t="s">
        <v>275</v>
      </c>
      <c r="E25" s="36">
        <v>1.0</v>
      </c>
      <c r="F25" s="33">
        <v>45989.0</v>
      </c>
      <c r="G25" s="40"/>
    </row>
    <row r="26">
      <c r="A26" s="33"/>
      <c r="B26" s="34"/>
      <c r="C26" s="35"/>
      <c r="D26" s="35"/>
      <c r="E26" s="36"/>
      <c r="F26" s="33"/>
      <c r="G26" s="40"/>
    </row>
    <row r="27">
      <c r="A27" s="33"/>
      <c r="B27" s="34"/>
      <c r="C27" s="35"/>
      <c r="D27" s="35"/>
      <c r="E27" s="36"/>
      <c r="F27" s="33"/>
      <c r="G27" s="40"/>
    </row>
    <row r="28">
      <c r="A28" s="33"/>
      <c r="B28" s="34"/>
      <c r="C28" s="35"/>
      <c r="D28" s="35"/>
      <c r="E28" s="36"/>
      <c r="F28" s="33"/>
      <c r="G28" s="40"/>
    </row>
    <row r="29">
      <c r="A29" s="33"/>
      <c r="B29" s="34"/>
      <c r="C29" s="35"/>
      <c r="D29" s="35"/>
      <c r="E29" s="36"/>
      <c r="F29" s="33"/>
      <c r="G29" s="40"/>
    </row>
    <row r="30">
      <c r="A30" s="33"/>
      <c r="B30" s="34"/>
      <c r="C30" s="35"/>
      <c r="D30" s="35"/>
      <c r="E30" s="36"/>
      <c r="F30" s="33"/>
      <c r="G30" s="40"/>
    </row>
    <row r="31">
      <c r="A31" s="33"/>
      <c r="B31" s="34"/>
      <c r="C31" s="35"/>
      <c r="D31" s="35"/>
      <c r="E31" s="36"/>
      <c r="F31" s="33"/>
      <c r="G31" s="40"/>
    </row>
    <row r="32">
      <c r="A32" s="33"/>
      <c r="B32" s="34"/>
      <c r="C32" s="35"/>
      <c r="D32" s="35"/>
      <c r="E32" s="36"/>
      <c r="F32" s="33"/>
      <c r="G32" s="40"/>
    </row>
    <row r="33">
      <c r="A33" s="33"/>
      <c r="B33" s="34"/>
      <c r="C33" s="35"/>
      <c r="D33" s="35"/>
      <c r="E33" s="36"/>
      <c r="F33" s="33"/>
      <c r="G33" s="40"/>
    </row>
    <row r="34">
      <c r="A34" s="33"/>
      <c r="B34" s="34"/>
      <c r="C34" s="35"/>
      <c r="D34" s="35"/>
      <c r="E34" s="36"/>
      <c r="F34" s="33"/>
      <c r="G34" s="40"/>
    </row>
    <row r="35">
      <c r="A35" s="33"/>
      <c r="B35" s="34"/>
      <c r="C35" s="35"/>
      <c r="D35" s="35"/>
      <c r="E35" s="36"/>
      <c r="F35" s="33"/>
      <c r="G35" s="40"/>
    </row>
    <row r="36">
      <c r="A36" s="33"/>
      <c r="B36" s="34"/>
      <c r="C36" s="35"/>
      <c r="D36" s="35"/>
      <c r="E36" s="36"/>
      <c r="F36" s="33"/>
      <c r="G36" s="40"/>
    </row>
    <row r="37">
      <c r="A37" s="33"/>
      <c r="B37" s="34"/>
      <c r="C37" s="35"/>
      <c r="D37" s="35"/>
      <c r="E37" s="36"/>
      <c r="F37" s="33"/>
      <c r="G37" s="40"/>
    </row>
    <row r="38">
      <c r="A38" s="33"/>
      <c r="B38" s="34"/>
      <c r="C38" s="35"/>
      <c r="D38" s="35"/>
      <c r="E38" s="36"/>
      <c r="F38" s="33"/>
      <c r="G38" s="40"/>
    </row>
    <row r="39">
      <c r="A39" s="33"/>
      <c r="B39" s="34"/>
      <c r="C39" s="35"/>
      <c r="D39" s="35"/>
      <c r="E39" s="36"/>
      <c r="F39" s="33"/>
      <c r="G39" s="40"/>
    </row>
    <row r="40">
      <c r="A40" s="33"/>
      <c r="B40" s="34"/>
      <c r="C40" s="35"/>
      <c r="D40" s="35"/>
      <c r="E40" s="36"/>
      <c r="F40" s="33"/>
      <c r="G40" s="40"/>
    </row>
    <row r="41">
      <c r="A41" s="33"/>
      <c r="B41" s="34"/>
      <c r="C41" s="35"/>
      <c r="D41" s="35"/>
      <c r="E41" s="36"/>
      <c r="F41" s="33"/>
      <c r="G41" s="40"/>
    </row>
    <row r="42">
      <c r="A42" s="33"/>
      <c r="B42" s="34"/>
      <c r="C42" s="35"/>
      <c r="D42" s="35"/>
      <c r="E42" s="36"/>
      <c r="F42" s="33"/>
      <c r="G42" s="40"/>
    </row>
    <row r="43">
      <c r="A43" s="33"/>
      <c r="B43" s="34"/>
      <c r="C43" s="35"/>
      <c r="D43" s="35"/>
      <c r="E43" s="36"/>
      <c r="F43" s="33"/>
      <c r="G43" s="40"/>
    </row>
    <row r="44">
      <c r="A44" s="33"/>
      <c r="B44" s="34"/>
      <c r="C44" s="35"/>
      <c r="D44" s="35"/>
      <c r="E44" s="36"/>
      <c r="F44" s="33"/>
      <c r="G44" s="40"/>
    </row>
    <row r="45">
      <c r="A45" s="41"/>
      <c r="B45" s="42"/>
      <c r="C45" s="43"/>
      <c r="D45" s="35"/>
      <c r="E45" s="44"/>
      <c r="F45" s="41"/>
      <c r="G45" s="40"/>
    </row>
    <row r="46">
      <c r="A46" s="41"/>
      <c r="B46" s="42"/>
      <c r="C46" s="43"/>
      <c r="D46" s="35"/>
      <c r="E46" s="44"/>
      <c r="F46" s="41"/>
      <c r="G46" s="40"/>
    </row>
    <row r="47">
      <c r="A47" s="41"/>
      <c r="B47" s="42"/>
      <c r="C47" s="43"/>
      <c r="D47" s="35"/>
      <c r="E47" s="44"/>
      <c r="F47" s="41"/>
      <c r="G47" s="40"/>
    </row>
    <row r="48">
      <c r="A48" s="41"/>
      <c r="B48" s="42"/>
      <c r="C48" s="43"/>
      <c r="D48" s="35"/>
      <c r="E48" s="44"/>
      <c r="F48" s="41"/>
      <c r="G48" s="40"/>
    </row>
    <row r="49">
      <c r="A49" s="41"/>
      <c r="B49" s="42"/>
      <c r="C49" s="43"/>
      <c r="D49" s="35"/>
      <c r="E49" s="44"/>
      <c r="F49" s="41"/>
      <c r="G49" s="40"/>
    </row>
  </sheetData>
  <dataValidations>
    <dataValidation type="custom" allowBlank="1" showDropDown="1" showErrorMessage="1" sqref="A2:A49">
      <formula1>OR(NOT(ISERROR(DATEVALUE(A2))), AND(ISNUMBER(A2), LEFT(CELL("format", A2))="D"))</formula1>
    </dataValidation>
    <dataValidation type="list" allowBlank="1" showErrorMessage="1" sqref="B2:B49">
      <formula1>"E-mkt,Sustentação,Manutenção,Desenvolvimento"</formula1>
    </dataValidation>
    <dataValidation type="list" allowBlank="1" showErrorMessage="1" sqref="C2:C49">
      <formula1>"Sírio-Libanês,NatJus Blog,Stryker,Sergio Franco"</formula1>
    </dataValidation>
  </dataValidations>
  <hyperlinks>
    <hyperlink r:id="rId1" ref="G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5.88"/>
    <col customWidth="1" min="4" max="4" width="67.5"/>
    <col customWidth="1" min="5" max="5" width="10.75"/>
    <col customWidth="1" min="6" max="6" width="15.25"/>
    <col customWidth="1" min="7" max="7" width="41.5"/>
  </cols>
  <sheetData>
    <row r="1" ht="44.25" customHeight="1">
      <c r="A1" s="29" t="s">
        <v>107</v>
      </c>
      <c r="B1" s="29" t="s">
        <v>17</v>
      </c>
      <c r="C1" s="30" t="s">
        <v>31</v>
      </c>
      <c r="D1" s="30" t="s">
        <v>18</v>
      </c>
      <c r="E1" s="31" t="s">
        <v>32</v>
      </c>
      <c r="F1" s="29" t="s">
        <v>82</v>
      </c>
      <c r="G1" s="29" t="s">
        <v>33</v>
      </c>
    </row>
    <row r="2">
      <c r="A2" s="33">
        <v>45965.0</v>
      </c>
      <c r="B2" s="34" t="s">
        <v>247</v>
      </c>
      <c r="C2" s="35" t="s">
        <v>35</v>
      </c>
      <c r="D2" s="35" t="s">
        <v>276</v>
      </c>
      <c r="E2" s="36">
        <v>1.0</v>
      </c>
      <c r="F2" s="33">
        <v>45965.0</v>
      </c>
      <c r="G2" s="39"/>
    </row>
    <row r="3">
      <c r="A3" s="33">
        <v>45996.0</v>
      </c>
      <c r="B3" s="34" t="s">
        <v>247</v>
      </c>
      <c r="C3" s="35" t="s">
        <v>35</v>
      </c>
      <c r="D3" s="35" t="s">
        <v>277</v>
      </c>
      <c r="E3" s="36">
        <v>2.0</v>
      </c>
      <c r="F3" s="33">
        <v>45966.0</v>
      </c>
      <c r="G3" s="38" t="s">
        <v>278</v>
      </c>
    </row>
    <row r="4">
      <c r="A4" s="33">
        <v>46367.0</v>
      </c>
      <c r="B4" s="34" t="s">
        <v>247</v>
      </c>
      <c r="C4" s="35" t="s">
        <v>35</v>
      </c>
      <c r="D4" s="35" t="s">
        <v>279</v>
      </c>
      <c r="E4" s="36">
        <v>1.0</v>
      </c>
      <c r="F4" s="33">
        <v>46367.0</v>
      </c>
      <c r="G4" s="38"/>
    </row>
    <row r="5">
      <c r="A5" s="33">
        <v>46368.0</v>
      </c>
      <c r="B5" s="34" t="s">
        <v>247</v>
      </c>
      <c r="C5" s="35" t="s">
        <v>35</v>
      </c>
      <c r="D5" s="35" t="s">
        <v>280</v>
      </c>
      <c r="E5" s="36">
        <v>1.0</v>
      </c>
      <c r="F5" s="33">
        <v>46368.0</v>
      </c>
      <c r="G5" s="39"/>
    </row>
    <row r="6">
      <c r="A6" s="33">
        <v>46368.0</v>
      </c>
      <c r="B6" s="34" t="s">
        <v>247</v>
      </c>
      <c r="C6" s="35" t="s">
        <v>35</v>
      </c>
      <c r="D6" s="35" t="s">
        <v>281</v>
      </c>
      <c r="E6" s="36">
        <v>1.0</v>
      </c>
      <c r="F6" s="33">
        <v>46368.0</v>
      </c>
      <c r="G6" s="38"/>
    </row>
    <row r="7">
      <c r="A7" s="33">
        <v>46368.0</v>
      </c>
      <c r="B7" s="34" t="s">
        <v>247</v>
      </c>
      <c r="C7" s="35" t="s">
        <v>35</v>
      </c>
      <c r="D7" s="35" t="s">
        <v>282</v>
      </c>
      <c r="E7" s="36">
        <v>1.0</v>
      </c>
      <c r="F7" s="33">
        <v>46368.0</v>
      </c>
      <c r="G7" s="39"/>
    </row>
    <row r="8">
      <c r="A8" s="33">
        <v>46368.0</v>
      </c>
      <c r="B8" s="34" t="s">
        <v>247</v>
      </c>
      <c r="C8" s="35" t="s">
        <v>35</v>
      </c>
      <c r="D8" s="35" t="s">
        <v>283</v>
      </c>
      <c r="E8" s="36">
        <v>1.0</v>
      </c>
      <c r="F8" s="33">
        <v>46368.0</v>
      </c>
      <c r="G8" s="39"/>
    </row>
    <row r="9">
      <c r="A9" s="33">
        <v>46371.0</v>
      </c>
      <c r="B9" s="34" t="s">
        <v>247</v>
      </c>
      <c r="C9" s="35" t="s">
        <v>35</v>
      </c>
      <c r="D9" s="35" t="s">
        <v>284</v>
      </c>
      <c r="E9" s="36">
        <v>1.0</v>
      </c>
      <c r="F9" s="33">
        <v>46371.0</v>
      </c>
      <c r="G9" s="38"/>
    </row>
    <row r="10">
      <c r="A10" s="33">
        <v>46371.0</v>
      </c>
      <c r="B10" s="34" t="s">
        <v>247</v>
      </c>
      <c r="C10" s="35" t="s">
        <v>35</v>
      </c>
      <c r="D10" s="35" t="s">
        <v>285</v>
      </c>
      <c r="E10" s="36">
        <v>1.0</v>
      </c>
      <c r="F10" s="33">
        <v>46371.0</v>
      </c>
      <c r="G10" s="39"/>
    </row>
    <row r="11">
      <c r="A11" s="33">
        <v>46374.0</v>
      </c>
      <c r="B11" s="34" t="s">
        <v>247</v>
      </c>
      <c r="C11" s="35" t="s">
        <v>35</v>
      </c>
      <c r="D11" s="35" t="s">
        <v>286</v>
      </c>
      <c r="E11" s="36">
        <v>1.0</v>
      </c>
      <c r="F11" s="33">
        <v>46374.0</v>
      </c>
      <c r="G11" s="39"/>
    </row>
    <row r="12">
      <c r="A12" s="33">
        <v>46374.0</v>
      </c>
      <c r="B12" s="34" t="s">
        <v>247</v>
      </c>
      <c r="C12" s="35" t="s">
        <v>35</v>
      </c>
      <c r="D12" s="35" t="s">
        <v>287</v>
      </c>
      <c r="E12" s="36">
        <v>1.0</v>
      </c>
      <c r="F12" s="33">
        <v>46374.0</v>
      </c>
      <c r="G12" s="38"/>
    </row>
    <row r="13">
      <c r="A13" s="33">
        <v>46375.0</v>
      </c>
      <c r="B13" s="34" t="s">
        <v>247</v>
      </c>
      <c r="C13" s="35" t="s">
        <v>35</v>
      </c>
      <c r="D13" s="35" t="s">
        <v>288</v>
      </c>
      <c r="E13" s="36">
        <v>1.0</v>
      </c>
      <c r="F13" s="33">
        <v>46375.0</v>
      </c>
      <c r="G13" s="40"/>
    </row>
    <row r="14">
      <c r="A14" s="33">
        <v>46375.0</v>
      </c>
      <c r="B14" s="34" t="s">
        <v>247</v>
      </c>
      <c r="C14" s="35" t="s">
        <v>35</v>
      </c>
      <c r="D14" s="35" t="s">
        <v>289</v>
      </c>
      <c r="E14" s="36">
        <v>1.0</v>
      </c>
      <c r="F14" s="33">
        <v>46375.0</v>
      </c>
      <c r="G14" s="49"/>
    </row>
    <row r="15">
      <c r="A15" s="33">
        <v>46375.0</v>
      </c>
      <c r="B15" s="34" t="s">
        <v>247</v>
      </c>
      <c r="C15" s="35" t="s">
        <v>35</v>
      </c>
      <c r="D15" s="35" t="s">
        <v>290</v>
      </c>
      <c r="E15" s="36">
        <v>1.0</v>
      </c>
      <c r="F15" s="33">
        <v>46375.0</v>
      </c>
      <c r="G15" s="38"/>
    </row>
    <row r="16">
      <c r="A16" s="33">
        <v>46375.0</v>
      </c>
      <c r="B16" s="34" t="s">
        <v>247</v>
      </c>
      <c r="C16" s="35" t="s">
        <v>291</v>
      </c>
      <c r="D16" s="35" t="s">
        <v>292</v>
      </c>
      <c r="E16" s="36">
        <v>1.0</v>
      </c>
      <c r="F16" s="33">
        <v>46375.0</v>
      </c>
      <c r="G16" s="38"/>
    </row>
    <row r="17">
      <c r="A17" s="33">
        <v>46013.0</v>
      </c>
      <c r="B17" s="34" t="s">
        <v>247</v>
      </c>
      <c r="C17" s="35" t="s">
        <v>35</v>
      </c>
      <c r="D17" s="35" t="s">
        <v>293</v>
      </c>
      <c r="E17" s="36">
        <v>1.0</v>
      </c>
      <c r="F17" s="33">
        <v>46013.0</v>
      </c>
      <c r="G17" s="38"/>
    </row>
    <row r="18">
      <c r="A18" s="33">
        <v>46013.0</v>
      </c>
      <c r="B18" s="34" t="s">
        <v>247</v>
      </c>
      <c r="C18" s="35" t="s">
        <v>291</v>
      </c>
      <c r="D18" s="35" t="s">
        <v>294</v>
      </c>
      <c r="E18" s="36">
        <v>1.0</v>
      </c>
      <c r="F18" s="33">
        <v>46014.0</v>
      </c>
      <c r="G18" s="38"/>
    </row>
    <row r="19">
      <c r="A19" s="33">
        <v>46014.0</v>
      </c>
      <c r="B19" s="34" t="s">
        <v>247</v>
      </c>
      <c r="C19" s="35" t="s">
        <v>291</v>
      </c>
      <c r="D19" s="35" t="s">
        <v>295</v>
      </c>
      <c r="E19" s="36">
        <v>1.0</v>
      </c>
      <c r="F19" s="33">
        <v>46014.0</v>
      </c>
      <c r="G19" s="38"/>
    </row>
    <row r="20">
      <c r="A20" s="33"/>
      <c r="B20" s="34"/>
      <c r="C20" s="35"/>
      <c r="D20" s="35"/>
      <c r="E20" s="36"/>
      <c r="F20" s="33"/>
      <c r="G20" s="40"/>
    </row>
    <row r="21">
      <c r="A21" s="33"/>
      <c r="B21" s="34"/>
      <c r="C21" s="34"/>
      <c r="D21" s="35"/>
      <c r="E21" s="36"/>
      <c r="F21" s="33"/>
      <c r="G21" s="40"/>
    </row>
    <row r="22">
      <c r="A22" s="48"/>
      <c r="B22" s="34"/>
      <c r="C22" s="34"/>
      <c r="D22" s="35"/>
      <c r="E22" s="36"/>
      <c r="F22" s="33"/>
      <c r="G22" s="40"/>
    </row>
    <row r="23">
      <c r="A23" s="33"/>
      <c r="B23" s="34"/>
      <c r="C23" s="35"/>
      <c r="D23" s="35"/>
      <c r="E23" s="36"/>
      <c r="F23" s="33"/>
      <c r="G23" s="40"/>
    </row>
    <row r="24">
      <c r="A24" s="33"/>
      <c r="B24" s="34"/>
      <c r="C24" s="35"/>
      <c r="D24" s="35"/>
      <c r="E24" s="36"/>
      <c r="F24" s="33"/>
      <c r="G24" s="40"/>
    </row>
    <row r="25">
      <c r="A25" s="33"/>
      <c r="B25" s="34"/>
      <c r="C25" s="35"/>
      <c r="D25" s="35"/>
      <c r="E25" s="36"/>
      <c r="F25" s="33"/>
      <c r="G25" s="40"/>
    </row>
    <row r="26">
      <c r="A26" s="33"/>
      <c r="B26" s="34"/>
      <c r="C26" s="35"/>
      <c r="D26" s="35"/>
      <c r="E26" s="36"/>
      <c r="F26" s="33"/>
      <c r="G26" s="40"/>
    </row>
    <row r="27">
      <c r="A27" s="33"/>
      <c r="B27" s="34"/>
      <c r="C27" s="35"/>
      <c r="D27" s="35"/>
      <c r="E27" s="36"/>
      <c r="F27" s="33"/>
      <c r="G27" s="40"/>
    </row>
    <row r="28">
      <c r="A28" s="33"/>
      <c r="B28" s="34"/>
      <c r="C28" s="35"/>
      <c r="D28" s="35"/>
      <c r="E28" s="36"/>
      <c r="F28" s="33"/>
      <c r="G28" s="40"/>
    </row>
    <row r="29">
      <c r="A29" s="33"/>
      <c r="B29" s="34"/>
      <c r="C29" s="35"/>
      <c r="D29" s="35"/>
      <c r="E29" s="36"/>
      <c r="F29" s="33"/>
      <c r="G29" s="40"/>
    </row>
    <row r="30">
      <c r="A30" s="33"/>
      <c r="B30" s="34"/>
      <c r="C30" s="35"/>
      <c r="D30" s="35"/>
      <c r="E30" s="36"/>
      <c r="F30" s="33"/>
      <c r="G30" s="40"/>
    </row>
    <row r="31">
      <c r="A31" s="33"/>
      <c r="B31" s="34"/>
      <c r="C31" s="35"/>
      <c r="D31" s="35"/>
      <c r="E31" s="36"/>
      <c r="F31" s="33"/>
      <c r="G31" s="40"/>
    </row>
    <row r="32">
      <c r="A32" s="33"/>
      <c r="B32" s="34"/>
      <c r="C32" s="35"/>
      <c r="D32" s="35"/>
      <c r="E32" s="36"/>
      <c r="F32" s="33"/>
      <c r="G32" s="40"/>
    </row>
    <row r="33">
      <c r="A33" s="33"/>
      <c r="B33" s="34"/>
      <c r="C33" s="35"/>
      <c r="D33" s="35"/>
      <c r="E33" s="36"/>
      <c r="F33" s="33"/>
      <c r="G33" s="40"/>
    </row>
    <row r="34">
      <c r="A34" s="33"/>
      <c r="B34" s="34"/>
      <c r="C34" s="35"/>
      <c r="D34" s="35"/>
      <c r="E34" s="36"/>
      <c r="F34" s="33"/>
      <c r="G34" s="40"/>
    </row>
    <row r="35">
      <c r="A35" s="33"/>
      <c r="B35" s="34"/>
      <c r="C35" s="35"/>
      <c r="D35" s="35"/>
      <c r="E35" s="36"/>
      <c r="F35" s="33"/>
      <c r="G35" s="40"/>
    </row>
    <row r="36">
      <c r="A36" s="33"/>
      <c r="B36" s="34"/>
      <c r="C36" s="35"/>
      <c r="D36" s="35"/>
      <c r="E36" s="36"/>
      <c r="F36" s="33"/>
      <c r="G36" s="40"/>
    </row>
    <row r="37">
      <c r="A37" s="33"/>
      <c r="B37" s="34"/>
      <c r="C37" s="35"/>
      <c r="D37" s="35"/>
      <c r="E37" s="36"/>
      <c r="F37" s="33"/>
      <c r="G37" s="40"/>
    </row>
    <row r="38">
      <c r="A38" s="33"/>
      <c r="B38" s="34"/>
      <c r="C38" s="35"/>
      <c r="D38" s="35"/>
      <c r="E38" s="36"/>
      <c r="F38" s="33"/>
      <c r="G38" s="40"/>
    </row>
    <row r="39">
      <c r="A39" s="33"/>
      <c r="B39" s="34"/>
      <c r="C39" s="35"/>
      <c r="D39" s="35"/>
      <c r="E39" s="36"/>
      <c r="F39" s="33"/>
      <c r="G39" s="40"/>
    </row>
    <row r="40">
      <c r="A40" s="33"/>
      <c r="B40" s="34"/>
      <c r="C40" s="35"/>
      <c r="D40" s="35"/>
      <c r="E40" s="36"/>
      <c r="F40" s="33"/>
      <c r="G40" s="40"/>
    </row>
    <row r="41">
      <c r="A41" s="33"/>
      <c r="B41" s="34"/>
      <c r="C41" s="35"/>
      <c r="D41" s="35"/>
      <c r="E41" s="36"/>
      <c r="F41" s="33"/>
      <c r="G41" s="40"/>
    </row>
    <row r="42">
      <c r="A42" s="33"/>
      <c r="B42" s="34"/>
      <c r="C42" s="35"/>
      <c r="D42" s="35"/>
      <c r="E42" s="36"/>
      <c r="F42" s="33"/>
      <c r="G42" s="40"/>
    </row>
    <row r="43">
      <c r="A43" s="33"/>
      <c r="B43" s="34"/>
      <c r="C43" s="35"/>
      <c r="D43" s="35"/>
      <c r="E43" s="36"/>
      <c r="F43" s="33"/>
      <c r="G43" s="40"/>
    </row>
    <row r="44">
      <c r="A44" s="33"/>
      <c r="B44" s="34"/>
      <c r="C44" s="35"/>
      <c r="D44" s="35"/>
      <c r="E44" s="36"/>
      <c r="F44" s="33"/>
      <c r="G44" s="40"/>
    </row>
    <row r="45">
      <c r="A45" s="41"/>
      <c r="B45" s="42"/>
      <c r="C45" s="43"/>
      <c r="D45" s="35"/>
      <c r="E45" s="44"/>
      <c r="F45" s="41"/>
      <c r="G45" s="40"/>
    </row>
    <row r="46">
      <c r="A46" s="41"/>
      <c r="B46" s="42"/>
      <c r="C46" s="43"/>
      <c r="D46" s="35"/>
      <c r="E46" s="44"/>
      <c r="F46" s="41"/>
      <c r="G46" s="40"/>
    </row>
    <row r="47">
      <c r="A47" s="41"/>
      <c r="B47" s="42"/>
      <c r="C47" s="43"/>
      <c r="D47" s="35"/>
      <c r="E47" s="44"/>
      <c r="F47" s="41"/>
      <c r="G47" s="40"/>
    </row>
    <row r="48">
      <c r="A48" s="41"/>
      <c r="B48" s="42"/>
      <c r="C48" s="43"/>
      <c r="D48" s="35"/>
      <c r="E48" s="44"/>
      <c r="F48" s="41"/>
      <c r="G48" s="40"/>
    </row>
    <row r="49">
      <c r="A49" s="41"/>
      <c r="B49" s="42"/>
      <c r="C49" s="43"/>
      <c r="D49" s="35"/>
      <c r="E49" s="44"/>
      <c r="F49" s="41"/>
      <c r="G49" s="40"/>
    </row>
  </sheetData>
  <dataValidations>
    <dataValidation type="list" allowBlank="1" showErrorMessage="1" sqref="C2:C49">
      <formula1>"Sírio-Libanês,NatJus Blog,Stryker,Sergio Franco,Huntington"</formula1>
    </dataValidation>
    <dataValidation type="custom" allowBlank="1" showDropDown="1" showErrorMessage="1" sqref="F4:F16 A2:A49">
      <formula1>OR(NOT(ISERROR(DATEVALUE(A2))), AND(ISNUMBER(A2), LEFT(CELL("format", A2))="D"))</formula1>
    </dataValidation>
    <dataValidation type="list" allowBlank="1" showErrorMessage="1" sqref="B2:B49">
      <formula1>"E-mkt,Sustentação,Manutenção,Desenvolvimento"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&amp;L&amp;F&amp;CMagor&amp;R&amp;A</oddHeader>
    <oddFooter>&amp;L&amp;D &amp;T&amp;R&amp;P</oddFooter>
  </headerFooter>
  <drawing r:id="rId1"/>
</worksheet>
</file>